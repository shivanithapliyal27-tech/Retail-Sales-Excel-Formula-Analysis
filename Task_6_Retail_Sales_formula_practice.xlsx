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ani Thapliyal\Downloads\"/>
    </mc:Choice>
  </mc:AlternateContent>
  <xr:revisionPtr revIDLastSave="0" documentId="8_{D4ED08D5-C845-4757-BD3B-0E798EB586C3}" xr6:coauthVersionLast="47" xr6:coauthVersionMax="47" xr10:uidLastSave="{00000000-0000-0000-0000-000000000000}"/>
  <bookViews>
    <workbookView xWindow="-98" yWindow="-98" windowWidth="19396" windowHeight="11475" firstSheet="5" activeTab="8" xr2:uid="{00000000-000D-0000-FFFF-FFFF00000000}"/>
  </bookViews>
  <sheets>
    <sheet name="Raw_Data" sheetId="1" r:id="rId1"/>
    <sheet name="Analysis" sheetId="2" r:id="rId2"/>
    <sheet name="PT_Region" sheetId="3" r:id="rId3"/>
    <sheet name="PT_Product" sheetId="4" r:id="rId4"/>
    <sheet name="PT_Monthly" sheetId="5" r:id="rId5"/>
    <sheet name="PT_Salesperson" sheetId="6" r:id="rId6"/>
    <sheet name="PT_Quantity_Region" sheetId="7" r:id="rId7"/>
    <sheet name="Summary" sheetId="9" r:id="rId8"/>
    <sheet name="Formula_Practice" sheetId="8" r:id="rId9"/>
  </sheets>
  <definedNames>
    <definedName name="_xlnm._FilterDatabase" localSheetId="0" hidden="1">Raw_Data!$A$1:$H$241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E4" i="8"/>
  <c r="A12" i="8"/>
  <c r="E8" i="8"/>
  <c r="E7" i="8"/>
  <c r="C6" i="8"/>
  <c r="E6" i="8" s="1"/>
  <c r="H16" i="2"/>
  <c r="E16" i="2"/>
  <c r="B16" i="2"/>
  <c r="H15" i="2"/>
  <c r="E15" i="2"/>
  <c r="B15" i="2"/>
  <c r="H14" i="2"/>
  <c r="E14" i="2"/>
  <c r="B14" i="2"/>
  <c r="H13" i="2"/>
  <c r="E13" i="2"/>
  <c r="B13" i="2"/>
  <c r="H12" i="2"/>
  <c r="E12" i="2"/>
  <c r="B12" i="2"/>
  <c r="B7" i="2"/>
  <c r="B6" i="2"/>
  <c r="B5" i="2"/>
  <c r="B4" i="2"/>
  <c r="D12" i="8" l="1"/>
  <c r="C12" i="8"/>
  <c r="B12" i="8"/>
</calcChain>
</file>

<file path=xl/sharedStrings.xml><?xml version="1.0" encoding="utf-8"?>
<sst xmlns="http://schemas.openxmlformats.org/spreadsheetml/2006/main" count="1107" uniqueCount="342">
  <si>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</si>
  <si>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</si>
  <si>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</si>
  <si>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</si>
  <si>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</si>
  <si>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</si>
  <si>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</si>
  <si>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</si>
  <si>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</si>
  <si>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</si>
  <si>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</si>
  <si>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</si>
  <si>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</si>
  <si>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</si>
  <si>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</si>
  <si>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</si>
  <si>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</si>
  <si>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</si>
  <si>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</si>
  <si>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</si>
  <si>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</si>
  <si>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</si>
  <si>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</si>
  <si>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</si>
  <si>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</si>
  <si>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</si>
  <si>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</si>
  <si>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</si>
  <si>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</si>
  <si>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</si>
  <si>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</si>
  <si>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</si>
  <si>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</si>
  <si>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</si>
  <si>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</si>
  <si>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</si>
  <si>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</si>
  <si>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</si>
  <si>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</si>
  <si>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</si>
  <si>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</si>
  <si>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</si>
  <si>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</si>
  <si>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</si>
  <si>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</si>
  <si>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</si>
  <si>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</si>
  <si>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</si>
  <si>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</si>
  <si>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</si>
  <si>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</si>
  <si>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</si>
  <si>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</si>
  <si>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</si>
  <si>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</si>
  <si>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</si>
  <si>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</si>
  <si>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</si>
  <si>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</si>
  <si>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</si>
  <si>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</si>
  <si>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</si>
  <si>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</si>
  <si>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</si>
  <si>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</si>
  <si>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</si>
  <si>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</si>
  <si>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</si>
  <si>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</si>
  <si>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</si>
  <si>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</si>
  <si>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</si>
  <si>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</si>
  <si>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</si>
  <si>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</si>
  <si>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</si>
  <si>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</si>
  <si>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</si>
  <si>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</si>
  <si>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</si>
  <si>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</si>
  <si>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</si>
  <si>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</si>
  <si>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</si>
  <si>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</si>
  <si>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</si>
  <si>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</si>
  <si>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</si>
  <si>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</si>
  <si>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</si>
  <si>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</si>
  <si>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</si>
  <si>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</si>
  <si>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</si>
  <si>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</si>
  <si>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</si>
  <si>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</si>
  <si>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</si>
  <si>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</si>
  <si>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</si>
  <si>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</si>
  <si>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</si>
  <si>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</si>
  <si>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</si>
  <si>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</si>
  <si>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</si>
  <si>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</si>
  <si>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</si>
  <si>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</si>
  <si>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</si>
  <si>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</si>
  <si>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</si>
  <si>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</si>
  <si>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</si>
  <si>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</si>
  <si>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</si>
  <si>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</si>
  <si>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</si>
  <si>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</si>
  <si>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</si>
  <si>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</si>
  <si>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</si>
  <si>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</si>
  <si>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</si>
  <si>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</si>
  <si>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</si>
  <si>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</si>
  <si>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</si>
  <si>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</si>
  <si>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</si>
  <si>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</si>
  <si>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</si>
  <si>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</si>
  <si>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</si>
  <si>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</si>
  <si>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</si>
  <si>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</si>
  <si>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</si>
  <si>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</si>
  <si>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</si>
  <si>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</si>
  <si>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</si>
  <si>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</si>
  <si>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</si>
  <si>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</si>
  <si>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</si>
  <si>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</si>
  <si>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</si>
  <si>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</si>
  <si>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</si>
  <si>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</si>
  <si>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</si>
  <si>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</si>
  <si>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</si>
  <si>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</si>
  <si>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</si>
  <si>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</si>
  <si>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</si>
  <si>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</si>
  <si>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</si>
  <si>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</si>
  <si>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</si>
  <si>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</si>
  <si>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</si>
  <si>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</si>
  <si>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</si>
  <si>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</si>
  <si>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</si>
  <si>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</si>
  <si>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</si>
  <si>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</si>
  <si>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</si>
  <si>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</si>
  <si>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</si>
  <si>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</si>
  <si>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</si>
  <si>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</si>
  <si>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</si>
  <si>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</si>
  <si>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</si>
  <si>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</si>
  <si>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</si>
  <si>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</si>
  <si>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</si>
  <si>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</si>
  <si>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</si>
  <si>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</si>
  <si>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</si>
  <si>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</si>
  <si>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</si>
  <si>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</si>
  <si>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</si>
  <si>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</si>
  <si>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</si>
  <si>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</si>
  <si>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</si>
  <si>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</si>
  <si>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</si>
  <si>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</si>
  <si>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</si>
  <si>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</si>
  <si>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</si>
  <si>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</si>
  <si>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</si>
  <si>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</si>
  <si>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</si>
  <si>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</si>
  <si>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</si>
  <si>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</si>
  <si>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</si>
  <si>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</si>
  <si>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</si>
  <si>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</si>
  <si>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</si>
  <si>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</si>
  <si>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</si>
  <si>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</si>
  <si>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</si>
  <si>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</si>
  <si>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</si>
  <si>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</si>
  <si>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</si>
  <si>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</si>
  <si>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</si>
  <si>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</si>
  <si>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</si>
  <si>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</si>
  <si>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</si>
  <si>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</si>
  <si>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</si>
  <si>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</si>
  <si>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</si>
  <si>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</si>
  <si>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</si>
  <si>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</si>
  <si>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</si>
  <si>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</si>
  <si>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</si>
  <si>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</si>
  <si>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</si>
  <si>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</si>
  <si>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</si>
  <si>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</si>
  <si>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</si>
  <si>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</si>
  <si>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</si>
  <si>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</si>
  <si>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</si>
  <si>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</si>
  <si>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</si>
  <si>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</si>
  <si>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</si>
  <si>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</si>
  <si>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</si>
  <si>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</si>
  <si>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</si>
  <si>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</si>
  <si>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</si>
  <si>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</si>
  <si>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</si>
  <si>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</si>
  <si>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</si>
  <si>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</si>
  <si>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</si>
  <si>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</si>
  <si>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</si>
  <si>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</si>
  <si>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</si>
  <si>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</si>
  <si>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</si>
  <si>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</si>
  <si>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Retail Sales Analysis</t>
  </si>
  <si>
    <t>KPI</t>
  </si>
  <si>
    <t>Value</t>
  </si>
  <si>
    <t>Total Sales</t>
  </si>
  <si>
    <t>Total Quantity</t>
  </si>
  <si>
    <t>Average Sales</t>
  </si>
  <si>
    <t>Total Orders</t>
  </si>
  <si>
    <t>Sales by Region</t>
  </si>
  <si>
    <t>Orders by Region</t>
  </si>
  <si>
    <t>Average Sales by Region</t>
  </si>
  <si>
    <t>Region</t>
  </si>
  <si>
    <t>Sales</t>
  </si>
  <si>
    <t>Orders</t>
  </si>
  <si>
    <t>Sum of Total</t>
  </si>
  <si>
    <t>Product</t>
  </si>
  <si>
    <t>Month</t>
  </si>
  <si>
    <t>2026-01</t>
  </si>
  <si>
    <t>2026-02</t>
  </si>
  <si>
    <t>2026-03</t>
  </si>
  <si>
    <t>2026-04</t>
  </si>
  <si>
    <t>2026-05</t>
  </si>
  <si>
    <t>2026-06</t>
  </si>
  <si>
    <t>Salesperson</t>
  </si>
  <si>
    <t>Sum of Quantity</t>
  </si>
  <si>
    <t>Task 6 — Excel Formulas &amp; Functions Fundamentals</t>
  </si>
  <si>
    <t>Live examples using the Retail Sales dataset</t>
  </si>
  <si>
    <t>Expected Result</t>
  </si>
  <si>
    <t>XLOOKUP</t>
  </si>
  <si>
    <t>Input Order ID</t>
  </si>
  <si>
    <t>Result / Product</t>
  </si>
  <si>
    <t>VLOOKUP</t>
  </si>
  <si>
    <t>IF</t>
  </si>
  <si>
    <t>Total</t>
  </si>
  <si>
    <t>Classification</t>
  </si>
  <si>
    <t>High</t>
  </si>
  <si>
    <t>SUMIFS</t>
  </si>
  <si>
    <t>Sales for Region</t>
  </si>
  <si>
    <t>COUNTIFS</t>
  </si>
  <si>
    <t>Orders in Region</t>
  </si>
  <si>
    <t>Text Functions</t>
  </si>
  <si>
    <t>LEFT (5)</t>
  </si>
  <si>
    <t>RIGHT (5)</t>
  </si>
  <si>
    <t>LEN</t>
  </si>
  <si>
    <t>Example Result</t>
  </si>
  <si>
    <t>Mecha | board | 19</t>
  </si>
  <si>
    <t>Function</t>
  </si>
  <si>
    <t>When to use</t>
  </si>
  <si>
    <t>Find a value and return a related value from another column.</t>
  </si>
  <si>
    <t>Search the first column of a table and return a value from another column.</t>
  </si>
  <si>
    <t>Return different results based on a condition.</t>
  </si>
  <si>
    <t>Add values that meet one or more conditions.</t>
  </si>
  <si>
    <t>Count records that meet one or more conditions.</t>
  </si>
  <si>
    <t>LEFT / RIGHT / LEN</t>
  </si>
  <si>
    <t>Extract characters or count characters in text.</t>
  </si>
  <si>
    <t>Retail Sales — Task 6 Submission Summary</t>
  </si>
  <si>
    <t>Task</t>
  </si>
  <si>
    <t>Excel Formulas &amp; Functions Fundamentals</t>
  </si>
  <si>
    <t>Dataset</t>
  </si>
  <si>
    <t>Retail Sales Dataset</t>
  </si>
  <si>
    <t>Records</t>
  </si>
  <si>
    <t>Functions demonstrated</t>
  </si>
  <si>
    <t>XLOOKUP, VLOOKUP, IF, SUMIFS, COUNTIFS, LEFT, RIGHT, LEN</t>
  </si>
  <si>
    <t>Workbook sheets</t>
  </si>
  <si>
    <t>Raw_Data, Analysis, Formula_Practice, PT_Region, PT_Product, PT_Monthly, PT_Salesperson, PT_Quantity_Region, Summary</t>
  </si>
  <si>
    <t>Key interview answers</t>
  </si>
  <si>
    <t>SUMIF vs SUMIFS</t>
  </si>
  <si>
    <t>SUMIF handles one condition; SUMIFS handles multiple conditions.</t>
  </si>
  <si>
    <t>Why XLOOKUP over VLOOKUP?</t>
  </si>
  <si>
    <t>XLOOKUP can look left or right and does not depend on a fixed column index.</t>
  </si>
  <si>
    <t>When use INDEX/MATCH?</t>
  </si>
  <si>
    <t>Useful when flexible lookup logic is needed, especially in older Excel versions or complex lookup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</si>
</sst>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3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5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Sum of Total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PT_Region!$B$1</c:f>
              <c:strCache>
                <c:ptCount val="1"/>
                <c:pt idx="0">
                  <c:v>Sum of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PT_Region!$A$2:$A$6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PT_Region!$B$2:$B$6</c:f>
              <c:numCache>
                <c:formatCode>#,##0.00</c:formatCode>
                <c:ptCount val="5"/>
                <c:pt idx="0">
                  <c:v>30787.94000000001</c:v>
                </c:pt>
                <c:pt idx="1">
                  <c:v>30083.51</c:v>
                </c:pt>
                <c:pt idx="2">
                  <c:v>28925</c:v>
                </c:pt>
                <c:pt idx="3">
                  <c:v>26485.820000000011</c:v>
                </c:pt>
                <c:pt idx="4">
                  <c:v>26154.87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0-4C43-8510-2A7D2B9D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Sum of Total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Sum of Total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PT_Product!$B$1</c:f>
              <c:strCache>
                <c:ptCount val="1"/>
                <c:pt idx="0">
                  <c:v>Sum of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PT_Product!$A$2:$A$13</c:f>
              <c:strCache>
                <c:ptCount val="12"/>
                <c:pt idx="0">
                  <c:v>Laptop Stand</c:v>
                </c:pt>
                <c:pt idx="1">
                  <c:v>Webcam 1080p</c:v>
                </c:pt>
                <c:pt idx="2">
                  <c:v>Cable Organizer</c:v>
                </c:pt>
                <c:pt idx="3">
                  <c:v>Wireless Mouse</c:v>
                </c:pt>
                <c:pt idx="4">
                  <c:v>External SSD 1TB</c:v>
                </c:pt>
                <c:pt idx="5">
                  <c:v>Noise-Cancelling Headphones</c:v>
                </c:pt>
                <c:pt idx="6">
                  <c:v>Ergonomic Chair</c:v>
                </c:pt>
                <c:pt idx="7">
                  <c:v>Desk Lamp</c:v>
                </c:pt>
                <c:pt idx="8">
                  <c:v>Mechanical Keyboard</c:v>
                </c:pt>
                <c:pt idx="9">
                  <c:v>27-inch Monitor</c:v>
                </c:pt>
                <c:pt idx="10">
                  <c:v>USB-C Hub</c:v>
                </c:pt>
                <c:pt idx="11">
                  <c:v>Standing Desk</c:v>
                </c:pt>
              </c:strCache>
            </c:strRef>
          </c:cat>
          <c:val>
            <c:numRef>
              <c:f>PT_Product!$B$2:$B$13</c:f>
              <c:numCache>
                <c:formatCode>#,##0.00</c:formatCode>
                <c:ptCount val="12"/>
                <c:pt idx="0">
                  <c:v>18713.900000000001</c:v>
                </c:pt>
                <c:pt idx="1">
                  <c:v>16809.84</c:v>
                </c:pt>
                <c:pt idx="2">
                  <c:v>16142.37</c:v>
                </c:pt>
                <c:pt idx="3">
                  <c:v>14290.77</c:v>
                </c:pt>
                <c:pt idx="4">
                  <c:v>12103.9</c:v>
                </c:pt>
                <c:pt idx="5">
                  <c:v>10674.32</c:v>
                </c:pt>
                <c:pt idx="6">
                  <c:v>10624.93</c:v>
                </c:pt>
                <c:pt idx="7">
                  <c:v>10445.799999999999</c:v>
                </c:pt>
                <c:pt idx="8">
                  <c:v>9513.33</c:v>
                </c:pt>
                <c:pt idx="9">
                  <c:v>8509.33</c:v>
                </c:pt>
                <c:pt idx="10">
                  <c:v>8082.1000000000013</c:v>
                </c:pt>
                <c:pt idx="11">
                  <c:v>6526.5499999999993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F-4C4B-A30B-3938FD81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Sum of Total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Product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Sum of Total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PT_Monthly!$B$1</c:f>
              <c:strCache>
                <c:ptCount val="1"/>
                <c:pt idx="0">
                  <c:v>Sum of 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PT_Monthly!$A$2:$A$7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PT_Monthly!$B$2:$B$7</c:f>
              <c:numCache>
                <c:formatCode>#,##0.00</c:formatCode>
                <c:ptCount val="6"/>
                <c:pt idx="0">
                  <c:v>24177.45</c:v>
                </c:pt>
                <c:pt idx="1">
                  <c:v>13788.89</c:v>
                </c:pt>
                <c:pt idx="2">
                  <c:v>19390.28</c:v>
                </c:pt>
                <c:pt idx="3">
                  <c:v>23471.38</c:v>
                </c:pt>
                <c:pt idx="4">
                  <c:v>24885.970000000008</c:v>
                </c:pt>
                <c:pt idx="5">
                  <c:v>36723.17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1F-4E3C-9E35-C76473AF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Sum of Total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Sum of Total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PT_Salesperson!$B$1</c:f>
              <c:strCache>
                <c:ptCount val="1"/>
                <c:pt idx="0">
                  <c:v>Sum of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PT_Salesperson!$A$2:$A$7</c:f>
              <c:strCache>
                <c:ptCount val="6"/>
                <c:pt idx="0">
                  <c:v>Priya Herrera</c:v>
                </c:pt>
                <c:pt idx="1">
                  <c:v>Sofia Kowalski</c:v>
                </c:pt>
                <c:pt idx="2">
                  <c:v>TomÃ¡s Tanaka</c:v>
                </c:pt>
                <c:pt idx="3">
                  <c:v>Omar Haddad</c:v>
                </c:pt>
                <c:pt idx="4">
                  <c:v>Elena Cohen</c:v>
                </c:pt>
                <c:pt idx="5">
                  <c:v>Chen Bennett</c:v>
                </c:pt>
              </c:strCache>
            </c:strRef>
          </c:cat>
          <c:val>
            <c:numRef>
              <c:f>PT_Salesperson!$B$2:$B$7</c:f>
              <c:numCache>
                <c:formatCode>#,##0.00</c:formatCode>
                <c:ptCount val="6"/>
                <c:pt idx="0">
                  <c:v>28195.51</c:v>
                </c:pt>
                <c:pt idx="1">
                  <c:v>24885.19000000001</c:v>
                </c:pt>
                <c:pt idx="2">
                  <c:v>24112.18</c:v>
                </c:pt>
                <c:pt idx="3">
                  <c:v>22989.34</c:v>
                </c:pt>
                <c:pt idx="4">
                  <c:v>21737.260000000009</c:v>
                </c:pt>
                <c:pt idx="5">
                  <c:v>20517.659999999989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F-4F2C-B755-79634853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Sum of Total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Salesperson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3" customWidth="1"/>
    <col min="3" max="3" width="24" customWidth="1"/>
    <col min="4" max="4" width="12" customWidth="1"/>
    <col min="5" max="5" width="13" customWidth="1"/>
    <col min="6" max="6" width="14" customWidth="1"/>
    <col min="7" max="7" width="13" customWidth="1"/>
    <col min="8" max="8" width="2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s="2">
        <v>46146</v>
      </c>
      <c r="C2" t="s">
        <v>9</v>
      </c>
      <c r="D2">
        <v>6</v>
      </c>
      <c r="E2" s="3">
        <v>112.7</v>
      </c>
      <c r="F2" s="3">
        <v>676.2</v>
      </c>
      <c r="G2" t="s">
        <v>10</v>
      </c>
      <c r="H2" t="s">
        <v>11</v>
      </c>
    </row>
    <row r="3" spans="1:8" x14ac:dyDescent="0.45">
      <c r="A3" t="s">
        <v>12</v>
      </c>
      <c r="B3" s="2">
        <v>46199</v>
      </c>
      <c r="C3" t="s">
        <v>13</v>
      </c>
      <c r="D3">
        <v>6</v>
      </c>
      <c r="E3" s="3">
        <v>35.78</v>
      </c>
      <c r="F3" s="3">
        <v>214.68</v>
      </c>
      <c r="G3" t="s">
        <v>14</v>
      </c>
      <c r="H3" t="s">
        <v>11</v>
      </c>
    </row>
    <row r="4" spans="1:8" x14ac:dyDescent="0.45">
      <c r="A4" t="s">
        <v>15</v>
      </c>
      <c r="B4" s="2">
        <v>46089</v>
      </c>
      <c r="C4" t="s">
        <v>16</v>
      </c>
      <c r="D4">
        <v>1</v>
      </c>
      <c r="E4" s="3">
        <v>111.15</v>
      </c>
      <c r="F4" s="3">
        <v>111.15</v>
      </c>
      <c r="G4" t="s">
        <v>14</v>
      </c>
      <c r="H4" t="s">
        <v>17</v>
      </c>
    </row>
    <row r="5" spans="1:8" x14ac:dyDescent="0.45">
      <c r="A5" t="s">
        <v>18</v>
      </c>
      <c r="B5" s="2">
        <v>46067</v>
      </c>
      <c r="C5" t="s">
        <v>19</v>
      </c>
      <c r="D5">
        <v>1</v>
      </c>
      <c r="E5" s="3">
        <v>112.67</v>
      </c>
      <c r="F5" s="3">
        <v>112.67</v>
      </c>
      <c r="G5" t="s">
        <v>20</v>
      </c>
      <c r="H5" t="s">
        <v>21</v>
      </c>
    </row>
    <row r="6" spans="1:8" x14ac:dyDescent="0.45">
      <c r="A6" t="s">
        <v>22</v>
      </c>
      <c r="B6" s="2">
        <v>46075</v>
      </c>
      <c r="C6" t="s">
        <v>19</v>
      </c>
      <c r="D6">
        <v>1</v>
      </c>
      <c r="E6" s="3">
        <v>54.09</v>
      </c>
      <c r="F6" s="3">
        <v>54.09</v>
      </c>
      <c r="G6" t="s">
        <v>23</v>
      </c>
      <c r="H6" t="s">
        <v>11</v>
      </c>
    </row>
    <row r="7" spans="1:8" x14ac:dyDescent="0.45">
      <c r="A7" t="s">
        <v>24</v>
      </c>
      <c r="B7" s="2">
        <v>46040</v>
      </c>
      <c r="C7" t="s">
        <v>25</v>
      </c>
      <c r="D7">
        <v>4</v>
      </c>
      <c r="E7" s="3">
        <v>215.54</v>
      </c>
      <c r="F7" s="3">
        <v>862.16</v>
      </c>
      <c r="G7" t="s">
        <v>26</v>
      </c>
      <c r="H7" t="s">
        <v>21</v>
      </c>
    </row>
    <row r="8" spans="1:8" x14ac:dyDescent="0.45">
      <c r="A8" t="s">
        <v>27</v>
      </c>
      <c r="B8" s="2">
        <v>46125</v>
      </c>
      <c r="C8" t="s">
        <v>28</v>
      </c>
      <c r="D8">
        <v>3</v>
      </c>
      <c r="E8" s="3">
        <v>17.52</v>
      </c>
      <c r="F8" s="3">
        <v>52.56</v>
      </c>
      <c r="G8" t="s">
        <v>20</v>
      </c>
      <c r="H8" t="s">
        <v>29</v>
      </c>
    </row>
    <row r="9" spans="1:8" x14ac:dyDescent="0.45">
      <c r="A9" t="s">
        <v>30</v>
      </c>
      <c r="B9" s="2">
        <v>46148</v>
      </c>
      <c r="C9" t="s">
        <v>31</v>
      </c>
      <c r="D9">
        <v>6</v>
      </c>
      <c r="E9" s="3">
        <v>181.65</v>
      </c>
      <c r="F9" s="3">
        <v>1089.9000000000001</v>
      </c>
      <c r="G9" t="s">
        <v>26</v>
      </c>
      <c r="H9" t="s">
        <v>21</v>
      </c>
    </row>
    <row r="10" spans="1:8" x14ac:dyDescent="0.45">
      <c r="A10" t="s">
        <v>32</v>
      </c>
      <c r="B10" s="2">
        <v>46116</v>
      </c>
      <c r="C10" t="s">
        <v>33</v>
      </c>
      <c r="D10">
        <v>8</v>
      </c>
      <c r="E10" s="3">
        <v>28.72</v>
      </c>
      <c r="F10" s="3">
        <v>229.76</v>
      </c>
      <c r="G10" t="s">
        <v>20</v>
      </c>
      <c r="H10" t="s">
        <v>11</v>
      </c>
    </row>
    <row r="11" spans="1:8" x14ac:dyDescent="0.45">
      <c r="A11" t="s">
        <v>34</v>
      </c>
      <c r="B11" s="2">
        <v>46082</v>
      </c>
      <c r="C11" t="s">
        <v>35</v>
      </c>
      <c r="D11">
        <v>7</v>
      </c>
      <c r="E11" s="3">
        <v>143.97</v>
      </c>
      <c r="F11" s="3">
        <v>1007.79</v>
      </c>
      <c r="G11" t="s">
        <v>20</v>
      </c>
      <c r="H11" t="s">
        <v>36</v>
      </c>
    </row>
    <row r="12" spans="1:8" x14ac:dyDescent="0.45">
      <c r="A12" t="s">
        <v>37</v>
      </c>
      <c r="B12" s="2">
        <v>46049</v>
      </c>
      <c r="C12" t="s">
        <v>28</v>
      </c>
      <c r="D12">
        <v>7</v>
      </c>
      <c r="E12" s="3">
        <v>147.79</v>
      </c>
      <c r="F12" s="3">
        <v>1034.53</v>
      </c>
      <c r="G12" t="s">
        <v>10</v>
      </c>
      <c r="H12" t="s">
        <v>36</v>
      </c>
    </row>
    <row r="13" spans="1:8" x14ac:dyDescent="0.45">
      <c r="A13" t="s">
        <v>38</v>
      </c>
      <c r="B13" s="2">
        <v>46161</v>
      </c>
      <c r="C13" t="s">
        <v>39</v>
      </c>
      <c r="D13">
        <v>5</v>
      </c>
      <c r="E13" s="3">
        <v>206.67</v>
      </c>
      <c r="F13" s="3">
        <v>1033.3499999999999</v>
      </c>
      <c r="G13" t="s">
        <v>10</v>
      </c>
      <c r="H13" t="s">
        <v>40</v>
      </c>
    </row>
    <row r="14" spans="1:8" x14ac:dyDescent="0.45">
      <c r="A14" t="s">
        <v>41</v>
      </c>
      <c r="B14" s="2">
        <v>46131</v>
      </c>
      <c r="C14" t="s">
        <v>13</v>
      </c>
      <c r="D14">
        <v>6</v>
      </c>
      <c r="E14" s="3">
        <v>119.74</v>
      </c>
      <c r="F14" s="3">
        <v>718.44</v>
      </c>
      <c r="G14" t="s">
        <v>14</v>
      </c>
      <c r="H14" t="s">
        <v>29</v>
      </c>
    </row>
    <row r="15" spans="1:8" x14ac:dyDescent="0.45">
      <c r="A15" t="s">
        <v>42</v>
      </c>
      <c r="B15" s="2">
        <v>46128</v>
      </c>
      <c r="C15" t="s">
        <v>9</v>
      </c>
      <c r="D15">
        <v>2</v>
      </c>
      <c r="E15" s="3">
        <v>179.18</v>
      </c>
      <c r="F15" s="3">
        <v>358.36</v>
      </c>
      <c r="G15" t="s">
        <v>10</v>
      </c>
      <c r="H15" t="s">
        <v>29</v>
      </c>
    </row>
    <row r="16" spans="1:8" x14ac:dyDescent="0.45">
      <c r="A16" t="s">
        <v>43</v>
      </c>
      <c r="B16" s="2">
        <v>46187</v>
      </c>
      <c r="C16" t="s">
        <v>44</v>
      </c>
      <c r="D16">
        <v>8</v>
      </c>
      <c r="E16" s="3">
        <v>149.41</v>
      </c>
      <c r="F16" s="3">
        <v>1195.28</v>
      </c>
      <c r="G16" t="s">
        <v>20</v>
      </c>
      <c r="H16" t="s">
        <v>40</v>
      </c>
    </row>
    <row r="17" spans="1:8" x14ac:dyDescent="0.45">
      <c r="A17" t="s">
        <v>45</v>
      </c>
      <c r="B17" s="2">
        <v>46028</v>
      </c>
      <c r="C17" t="s">
        <v>35</v>
      </c>
      <c r="D17">
        <v>1</v>
      </c>
      <c r="E17" s="3">
        <v>223.56</v>
      </c>
      <c r="F17" s="3">
        <v>223.56</v>
      </c>
      <c r="G17" t="s">
        <v>23</v>
      </c>
      <c r="H17" t="s">
        <v>17</v>
      </c>
    </row>
    <row r="18" spans="1:8" x14ac:dyDescent="0.45">
      <c r="A18" t="s">
        <v>46</v>
      </c>
      <c r="B18" s="2">
        <v>46092</v>
      </c>
      <c r="C18" t="s">
        <v>25</v>
      </c>
      <c r="D18">
        <v>7</v>
      </c>
      <c r="E18" s="3">
        <v>59.12</v>
      </c>
      <c r="F18" s="3">
        <v>413.84</v>
      </c>
      <c r="G18" t="s">
        <v>10</v>
      </c>
      <c r="H18" t="s">
        <v>40</v>
      </c>
    </row>
    <row r="19" spans="1:8" x14ac:dyDescent="0.45">
      <c r="A19" t="s">
        <v>47</v>
      </c>
      <c r="B19" s="2">
        <v>46129</v>
      </c>
      <c r="C19" t="s">
        <v>9</v>
      </c>
      <c r="D19">
        <v>7</v>
      </c>
      <c r="E19" s="3">
        <v>90.62</v>
      </c>
      <c r="F19" s="3">
        <v>634.34</v>
      </c>
      <c r="G19" t="s">
        <v>20</v>
      </c>
      <c r="H19" t="s">
        <v>36</v>
      </c>
    </row>
    <row r="20" spans="1:8" x14ac:dyDescent="0.45">
      <c r="A20" t="s">
        <v>48</v>
      </c>
      <c r="B20" s="2">
        <v>46032</v>
      </c>
      <c r="C20" t="s">
        <v>19</v>
      </c>
      <c r="D20">
        <v>2</v>
      </c>
      <c r="E20" s="3">
        <v>197.09</v>
      </c>
      <c r="F20" s="3">
        <v>394.18</v>
      </c>
      <c r="G20" t="s">
        <v>20</v>
      </c>
      <c r="H20" t="s">
        <v>11</v>
      </c>
    </row>
    <row r="21" spans="1:8" x14ac:dyDescent="0.45">
      <c r="A21" t="s">
        <v>49</v>
      </c>
      <c r="B21" s="2">
        <v>46202</v>
      </c>
      <c r="C21" t="s">
        <v>33</v>
      </c>
      <c r="D21">
        <v>4</v>
      </c>
      <c r="E21" s="3">
        <v>167.13</v>
      </c>
      <c r="F21" s="3">
        <v>668.52</v>
      </c>
      <c r="G21" t="s">
        <v>20</v>
      </c>
      <c r="H21" t="s">
        <v>36</v>
      </c>
    </row>
    <row r="22" spans="1:8" x14ac:dyDescent="0.45">
      <c r="A22" t="s">
        <v>50</v>
      </c>
      <c r="B22" s="2">
        <v>46128</v>
      </c>
      <c r="C22" t="s">
        <v>39</v>
      </c>
      <c r="D22">
        <v>3</v>
      </c>
      <c r="E22" s="3">
        <v>63.19</v>
      </c>
      <c r="F22" s="3">
        <v>189.57</v>
      </c>
      <c r="G22" t="s">
        <v>14</v>
      </c>
      <c r="H22" t="s">
        <v>11</v>
      </c>
    </row>
    <row r="23" spans="1:8" x14ac:dyDescent="0.45">
      <c r="A23" t="s">
        <v>51</v>
      </c>
      <c r="B23" s="2">
        <v>46098</v>
      </c>
      <c r="C23" t="s">
        <v>44</v>
      </c>
      <c r="D23">
        <v>3</v>
      </c>
      <c r="E23" s="3">
        <v>36.67</v>
      </c>
      <c r="F23" s="3">
        <v>110.01</v>
      </c>
      <c r="G23" t="s">
        <v>20</v>
      </c>
      <c r="H23" t="s">
        <v>29</v>
      </c>
    </row>
    <row r="24" spans="1:8" x14ac:dyDescent="0.45">
      <c r="A24" t="s">
        <v>52</v>
      </c>
      <c r="B24" s="2">
        <v>46107</v>
      </c>
      <c r="C24" t="s">
        <v>13</v>
      </c>
      <c r="D24">
        <v>2</v>
      </c>
      <c r="E24" s="3">
        <v>179.02</v>
      </c>
      <c r="F24" s="3">
        <v>358.04</v>
      </c>
      <c r="G24" t="s">
        <v>23</v>
      </c>
      <c r="H24" t="s">
        <v>21</v>
      </c>
    </row>
    <row r="25" spans="1:8" x14ac:dyDescent="0.45">
      <c r="A25" t="s">
        <v>53</v>
      </c>
      <c r="B25" s="2">
        <v>46111</v>
      </c>
      <c r="C25" t="s">
        <v>25</v>
      </c>
      <c r="D25">
        <v>1</v>
      </c>
      <c r="E25" s="3">
        <v>54.88</v>
      </c>
      <c r="F25" s="3">
        <v>54.88</v>
      </c>
      <c r="G25" t="s">
        <v>23</v>
      </c>
      <c r="H25" t="s">
        <v>17</v>
      </c>
    </row>
    <row r="26" spans="1:8" x14ac:dyDescent="0.45">
      <c r="A26" t="s">
        <v>54</v>
      </c>
      <c r="B26" s="2">
        <v>46201</v>
      </c>
      <c r="C26" t="s">
        <v>33</v>
      </c>
      <c r="D26">
        <v>4</v>
      </c>
      <c r="E26" s="3">
        <v>161.26</v>
      </c>
      <c r="F26" s="3">
        <v>645.04</v>
      </c>
      <c r="G26" t="s">
        <v>20</v>
      </c>
      <c r="H26" t="s">
        <v>17</v>
      </c>
    </row>
    <row r="27" spans="1:8" x14ac:dyDescent="0.45">
      <c r="A27" t="s">
        <v>55</v>
      </c>
      <c r="B27" s="2">
        <v>46163</v>
      </c>
      <c r="C27" t="s">
        <v>33</v>
      </c>
      <c r="D27">
        <v>5</v>
      </c>
      <c r="E27" s="3">
        <v>214.71</v>
      </c>
      <c r="F27" s="3">
        <v>1073.55</v>
      </c>
      <c r="G27" t="s">
        <v>26</v>
      </c>
      <c r="H27" t="s">
        <v>11</v>
      </c>
    </row>
    <row r="28" spans="1:8" x14ac:dyDescent="0.45">
      <c r="A28" t="s">
        <v>56</v>
      </c>
      <c r="B28" s="2">
        <v>46064</v>
      </c>
      <c r="C28" t="s">
        <v>39</v>
      </c>
      <c r="D28">
        <v>5</v>
      </c>
      <c r="E28" s="3">
        <v>12.96</v>
      </c>
      <c r="F28" s="3">
        <v>64.8</v>
      </c>
      <c r="G28" t="s">
        <v>23</v>
      </c>
      <c r="H28" t="s">
        <v>11</v>
      </c>
    </row>
    <row r="29" spans="1:8" x14ac:dyDescent="0.45">
      <c r="A29" t="s">
        <v>57</v>
      </c>
      <c r="B29" s="2">
        <v>46040</v>
      </c>
      <c r="C29" t="s">
        <v>28</v>
      </c>
      <c r="D29">
        <v>5</v>
      </c>
      <c r="E29" s="3">
        <v>68.38</v>
      </c>
      <c r="F29" s="3">
        <v>341.9</v>
      </c>
      <c r="G29" t="s">
        <v>23</v>
      </c>
      <c r="H29" t="s">
        <v>36</v>
      </c>
    </row>
    <row r="30" spans="1:8" x14ac:dyDescent="0.45">
      <c r="A30" t="s">
        <v>58</v>
      </c>
      <c r="B30" s="2">
        <v>46194</v>
      </c>
      <c r="C30" t="s">
        <v>9</v>
      </c>
      <c r="D30">
        <v>4</v>
      </c>
      <c r="E30" s="3">
        <v>30.61</v>
      </c>
      <c r="F30" s="3">
        <v>122.44</v>
      </c>
      <c r="G30" t="s">
        <v>23</v>
      </c>
      <c r="H30" t="s">
        <v>17</v>
      </c>
    </row>
    <row r="31" spans="1:8" x14ac:dyDescent="0.45">
      <c r="A31" t="s">
        <v>59</v>
      </c>
      <c r="B31" s="2">
        <v>46046</v>
      </c>
      <c r="C31" t="s">
        <v>9</v>
      </c>
      <c r="D31">
        <v>8</v>
      </c>
      <c r="E31" s="3">
        <v>103.99</v>
      </c>
      <c r="F31" s="3">
        <v>831.92</v>
      </c>
      <c r="G31" t="s">
        <v>23</v>
      </c>
      <c r="H31" t="s">
        <v>36</v>
      </c>
    </row>
    <row r="32" spans="1:8" x14ac:dyDescent="0.45">
      <c r="A32" t="s">
        <v>60</v>
      </c>
      <c r="B32" s="2">
        <v>46067</v>
      </c>
      <c r="C32" t="s">
        <v>25</v>
      </c>
      <c r="D32">
        <v>1</v>
      </c>
      <c r="E32" s="3">
        <v>217.69</v>
      </c>
      <c r="F32" s="3">
        <v>217.69</v>
      </c>
      <c r="G32" t="s">
        <v>23</v>
      </c>
      <c r="H32" t="s">
        <v>17</v>
      </c>
    </row>
    <row r="33" spans="1:8" x14ac:dyDescent="0.45">
      <c r="A33" t="s">
        <v>61</v>
      </c>
      <c r="B33" s="2">
        <v>46186</v>
      </c>
      <c r="C33" t="s">
        <v>39</v>
      </c>
      <c r="D33">
        <v>4</v>
      </c>
      <c r="E33" s="3">
        <v>248.32</v>
      </c>
      <c r="F33" s="3">
        <v>993.28</v>
      </c>
      <c r="G33" t="s">
        <v>10</v>
      </c>
      <c r="H33" t="s">
        <v>40</v>
      </c>
    </row>
    <row r="34" spans="1:8" x14ac:dyDescent="0.45">
      <c r="A34" t="s">
        <v>62</v>
      </c>
      <c r="B34" s="2">
        <v>46065</v>
      </c>
      <c r="C34" t="s">
        <v>33</v>
      </c>
      <c r="D34">
        <v>7</v>
      </c>
      <c r="E34" s="3">
        <v>197.63</v>
      </c>
      <c r="F34" s="3">
        <v>1383.41</v>
      </c>
      <c r="G34" t="s">
        <v>26</v>
      </c>
      <c r="H34" t="s">
        <v>21</v>
      </c>
    </row>
    <row r="35" spans="1:8" x14ac:dyDescent="0.45">
      <c r="A35" t="s">
        <v>63</v>
      </c>
      <c r="B35" s="2">
        <v>46135</v>
      </c>
      <c r="C35" t="s">
        <v>64</v>
      </c>
      <c r="D35">
        <v>1</v>
      </c>
      <c r="E35" s="3">
        <v>153.5</v>
      </c>
      <c r="F35" s="3">
        <v>153.5</v>
      </c>
      <c r="G35" t="s">
        <v>20</v>
      </c>
      <c r="H35" t="s">
        <v>11</v>
      </c>
    </row>
    <row r="36" spans="1:8" x14ac:dyDescent="0.45">
      <c r="A36" t="s">
        <v>65</v>
      </c>
      <c r="B36" s="2">
        <v>46201</v>
      </c>
      <c r="C36" t="s">
        <v>19</v>
      </c>
      <c r="D36">
        <v>4</v>
      </c>
      <c r="E36" s="3">
        <v>202.9</v>
      </c>
      <c r="F36" s="3">
        <v>811.6</v>
      </c>
      <c r="G36" t="s">
        <v>14</v>
      </c>
      <c r="H36" t="s">
        <v>21</v>
      </c>
    </row>
    <row r="37" spans="1:8" x14ac:dyDescent="0.45">
      <c r="A37" t="s">
        <v>66</v>
      </c>
      <c r="B37" s="2">
        <v>46079</v>
      </c>
      <c r="C37" t="s">
        <v>39</v>
      </c>
      <c r="D37">
        <v>5</v>
      </c>
      <c r="E37" s="3">
        <v>135.96</v>
      </c>
      <c r="F37" s="3">
        <v>679.8</v>
      </c>
      <c r="G37" t="s">
        <v>23</v>
      </c>
      <c r="H37" t="s">
        <v>40</v>
      </c>
    </row>
    <row r="38" spans="1:8" x14ac:dyDescent="0.45">
      <c r="A38" t="s">
        <v>67</v>
      </c>
      <c r="B38" s="2">
        <v>46024</v>
      </c>
      <c r="C38" t="s">
        <v>28</v>
      </c>
      <c r="D38">
        <v>6</v>
      </c>
      <c r="E38" s="3">
        <v>74.489999999999995</v>
      </c>
      <c r="F38" s="3">
        <v>446.94</v>
      </c>
      <c r="G38" t="s">
        <v>20</v>
      </c>
      <c r="H38" t="s">
        <v>40</v>
      </c>
    </row>
    <row r="39" spans="1:8" x14ac:dyDescent="0.45">
      <c r="A39" t="s">
        <v>68</v>
      </c>
      <c r="B39" s="2">
        <v>46055</v>
      </c>
      <c r="C39" t="s">
        <v>39</v>
      </c>
      <c r="D39">
        <v>4</v>
      </c>
      <c r="E39" s="3">
        <v>115.64</v>
      </c>
      <c r="F39" s="3">
        <v>462.56</v>
      </c>
      <c r="G39" t="s">
        <v>20</v>
      </c>
      <c r="H39" t="s">
        <v>17</v>
      </c>
    </row>
    <row r="40" spans="1:8" x14ac:dyDescent="0.45">
      <c r="A40" t="s">
        <v>69</v>
      </c>
      <c r="B40" s="2">
        <v>46182</v>
      </c>
      <c r="C40" t="s">
        <v>33</v>
      </c>
      <c r="D40">
        <v>5</v>
      </c>
      <c r="E40" s="3">
        <v>245.5</v>
      </c>
      <c r="F40" s="3">
        <v>1227.5</v>
      </c>
      <c r="G40" t="s">
        <v>23</v>
      </c>
      <c r="H40" t="s">
        <v>17</v>
      </c>
    </row>
    <row r="41" spans="1:8" x14ac:dyDescent="0.45">
      <c r="A41" t="s">
        <v>70</v>
      </c>
      <c r="B41" s="2">
        <v>46142</v>
      </c>
      <c r="C41" t="s">
        <v>33</v>
      </c>
      <c r="D41">
        <v>5</v>
      </c>
      <c r="E41" s="3">
        <v>161.72</v>
      </c>
      <c r="F41" s="3">
        <v>808.6</v>
      </c>
      <c r="G41" t="s">
        <v>23</v>
      </c>
      <c r="H41" t="s">
        <v>36</v>
      </c>
    </row>
    <row r="42" spans="1:8" x14ac:dyDescent="0.45">
      <c r="A42" t="s">
        <v>71</v>
      </c>
      <c r="B42" s="2">
        <v>46079</v>
      </c>
      <c r="C42" t="s">
        <v>31</v>
      </c>
      <c r="D42">
        <v>1</v>
      </c>
      <c r="E42" s="3">
        <v>213.38</v>
      </c>
      <c r="F42" s="3">
        <v>213.38</v>
      </c>
      <c r="G42" t="s">
        <v>20</v>
      </c>
      <c r="H42" t="s">
        <v>11</v>
      </c>
    </row>
    <row r="43" spans="1:8" x14ac:dyDescent="0.45">
      <c r="A43" t="s">
        <v>72</v>
      </c>
      <c r="B43" s="2">
        <v>46151</v>
      </c>
      <c r="C43" t="s">
        <v>28</v>
      </c>
      <c r="D43">
        <v>3</v>
      </c>
      <c r="E43" s="3">
        <v>221.01</v>
      </c>
      <c r="F43" s="3">
        <v>663.03</v>
      </c>
      <c r="G43" t="s">
        <v>23</v>
      </c>
      <c r="H43" t="s">
        <v>17</v>
      </c>
    </row>
    <row r="44" spans="1:8" x14ac:dyDescent="0.45">
      <c r="A44" t="s">
        <v>73</v>
      </c>
      <c r="B44" s="2">
        <v>46165</v>
      </c>
      <c r="C44" t="s">
        <v>19</v>
      </c>
      <c r="D44">
        <v>4</v>
      </c>
      <c r="E44" s="3">
        <v>158.94999999999999</v>
      </c>
      <c r="F44" s="3">
        <v>635.79999999999995</v>
      </c>
      <c r="G44" t="s">
        <v>10</v>
      </c>
      <c r="H44" t="s">
        <v>17</v>
      </c>
    </row>
    <row r="45" spans="1:8" x14ac:dyDescent="0.45">
      <c r="A45" t="s">
        <v>74</v>
      </c>
      <c r="B45" s="2">
        <v>46054</v>
      </c>
      <c r="C45" t="s">
        <v>28</v>
      </c>
      <c r="D45">
        <v>5</v>
      </c>
      <c r="E45" s="3">
        <v>37.47</v>
      </c>
      <c r="F45" s="3">
        <v>187.35</v>
      </c>
      <c r="G45" t="s">
        <v>26</v>
      </c>
      <c r="H45" t="s">
        <v>21</v>
      </c>
    </row>
    <row r="46" spans="1:8" x14ac:dyDescent="0.45">
      <c r="A46" t="s">
        <v>75</v>
      </c>
      <c r="B46" s="2">
        <v>46114</v>
      </c>
      <c r="C46" t="s">
        <v>39</v>
      </c>
      <c r="D46">
        <v>7</v>
      </c>
      <c r="E46" s="3">
        <v>124.94</v>
      </c>
      <c r="F46" s="3">
        <v>874.58</v>
      </c>
      <c r="G46" t="s">
        <v>14</v>
      </c>
      <c r="H46" t="s">
        <v>11</v>
      </c>
    </row>
    <row r="47" spans="1:8" x14ac:dyDescent="0.45">
      <c r="A47" t="s">
        <v>76</v>
      </c>
      <c r="B47" s="2">
        <v>46153</v>
      </c>
      <c r="C47" t="s">
        <v>16</v>
      </c>
      <c r="D47">
        <v>1</v>
      </c>
      <c r="E47" s="3">
        <v>80.58</v>
      </c>
      <c r="F47" s="3">
        <v>80.58</v>
      </c>
      <c r="G47" t="s">
        <v>26</v>
      </c>
      <c r="H47" t="s">
        <v>40</v>
      </c>
    </row>
    <row r="48" spans="1:8" x14ac:dyDescent="0.45">
      <c r="A48" t="s">
        <v>77</v>
      </c>
      <c r="B48" s="2">
        <v>46052</v>
      </c>
      <c r="C48" t="s">
        <v>44</v>
      </c>
      <c r="D48">
        <v>7</v>
      </c>
      <c r="E48" s="3">
        <v>143.93</v>
      </c>
      <c r="F48" s="3">
        <v>1007.51</v>
      </c>
      <c r="G48" t="s">
        <v>20</v>
      </c>
      <c r="H48" t="s">
        <v>11</v>
      </c>
    </row>
    <row r="49" spans="1:8" x14ac:dyDescent="0.45">
      <c r="A49" t="s">
        <v>78</v>
      </c>
      <c r="B49" s="2">
        <v>46026</v>
      </c>
      <c r="C49" t="s">
        <v>35</v>
      </c>
      <c r="D49">
        <v>1</v>
      </c>
      <c r="E49" s="3">
        <v>151.12</v>
      </c>
      <c r="F49" s="3">
        <v>151.12</v>
      </c>
      <c r="G49" t="s">
        <v>26</v>
      </c>
      <c r="H49" t="s">
        <v>29</v>
      </c>
    </row>
    <row r="50" spans="1:8" x14ac:dyDescent="0.45">
      <c r="A50" t="s">
        <v>79</v>
      </c>
      <c r="B50" s="2">
        <v>46124</v>
      </c>
      <c r="C50" t="s">
        <v>28</v>
      </c>
      <c r="D50">
        <v>4</v>
      </c>
      <c r="E50" s="3">
        <v>84.27</v>
      </c>
      <c r="F50" s="3">
        <v>337.08</v>
      </c>
      <c r="G50" t="s">
        <v>14</v>
      </c>
      <c r="H50" t="s">
        <v>21</v>
      </c>
    </row>
    <row r="51" spans="1:8" x14ac:dyDescent="0.45">
      <c r="A51" t="s">
        <v>80</v>
      </c>
      <c r="B51" s="2">
        <v>46049</v>
      </c>
      <c r="C51" t="s">
        <v>39</v>
      </c>
      <c r="D51">
        <v>1</v>
      </c>
      <c r="E51" s="3">
        <v>96.96</v>
      </c>
      <c r="F51" s="3">
        <v>96.96</v>
      </c>
      <c r="G51" t="s">
        <v>10</v>
      </c>
      <c r="H51" t="s">
        <v>11</v>
      </c>
    </row>
    <row r="52" spans="1:8" x14ac:dyDescent="0.45">
      <c r="A52" t="s">
        <v>81</v>
      </c>
      <c r="B52" s="2">
        <v>46038</v>
      </c>
      <c r="C52" t="s">
        <v>35</v>
      </c>
      <c r="D52">
        <v>7</v>
      </c>
      <c r="E52" s="3">
        <v>155.38999999999999</v>
      </c>
      <c r="F52" s="3">
        <v>1087.73</v>
      </c>
      <c r="G52" t="s">
        <v>23</v>
      </c>
      <c r="H52" t="s">
        <v>21</v>
      </c>
    </row>
    <row r="53" spans="1:8" x14ac:dyDescent="0.45">
      <c r="A53" t="s">
        <v>82</v>
      </c>
      <c r="B53" s="2">
        <v>46085</v>
      </c>
      <c r="C53" t="s">
        <v>9</v>
      </c>
      <c r="D53">
        <v>3</v>
      </c>
      <c r="E53" s="3">
        <v>125.54</v>
      </c>
      <c r="F53" s="3">
        <v>376.62</v>
      </c>
      <c r="G53" t="s">
        <v>20</v>
      </c>
      <c r="H53" t="s">
        <v>11</v>
      </c>
    </row>
    <row r="54" spans="1:8" x14ac:dyDescent="0.45">
      <c r="A54" t="s">
        <v>83</v>
      </c>
      <c r="B54" s="2">
        <v>46103</v>
      </c>
      <c r="C54" t="s">
        <v>35</v>
      </c>
      <c r="D54">
        <v>5</v>
      </c>
      <c r="E54" s="3">
        <v>70.790000000000006</v>
      </c>
      <c r="F54" s="3">
        <v>353.95</v>
      </c>
      <c r="G54" t="s">
        <v>20</v>
      </c>
      <c r="H54" t="s">
        <v>29</v>
      </c>
    </row>
    <row r="55" spans="1:8" x14ac:dyDescent="0.45">
      <c r="A55" t="s">
        <v>84</v>
      </c>
      <c r="B55" s="2">
        <v>46151</v>
      </c>
      <c r="C55" t="s">
        <v>31</v>
      </c>
      <c r="D55">
        <v>6</v>
      </c>
      <c r="E55" s="3">
        <v>204.83</v>
      </c>
      <c r="F55" s="3">
        <v>1228.98</v>
      </c>
      <c r="G55" t="s">
        <v>23</v>
      </c>
      <c r="H55" t="s">
        <v>11</v>
      </c>
    </row>
    <row r="56" spans="1:8" x14ac:dyDescent="0.45">
      <c r="A56" t="s">
        <v>85</v>
      </c>
      <c r="B56" s="2">
        <v>46196</v>
      </c>
      <c r="C56" t="s">
        <v>44</v>
      </c>
      <c r="D56">
        <v>8</v>
      </c>
      <c r="E56" s="3">
        <v>190.17</v>
      </c>
      <c r="F56" s="3">
        <v>1521.36</v>
      </c>
      <c r="G56" t="s">
        <v>14</v>
      </c>
      <c r="H56" t="s">
        <v>11</v>
      </c>
    </row>
    <row r="57" spans="1:8" x14ac:dyDescent="0.45">
      <c r="A57" t="s">
        <v>86</v>
      </c>
      <c r="B57" s="2">
        <v>46182</v>
      </c>
      <c r="C57" t="s">
        <v>64</v>
      </c>
      <c r="D57">
        <v>7</v>
      </c>
      <c r="E57" s="3">
        <v>239.78</v>
      </c>
      <c r="F57" s="3">
        <v>1678.46</v>
      </c>
      <c r="G57" t="s">
        <v>23</v>
      </c>
      <c r="H57" t="s">
        <v>11</v>
      </c>
    </row>
    <row r="58" spans="1:8" x14ac:dyDescent="0.45">
      <c r="A58" t="s">
        <v>87</v>
      </c>
      <c r="B58" s="2">
        <v>46115</v>
      </c>
      <c r="C58" t="s">
        <v>39</v>
      </c>
      <c r="D58">
        <v>8</v>
      </c>
      <c r="E58" s="3">
        <v>14</v>
      </c>
      <c r="F58" s="3">
        <v>112</v>
      </c>
      <c r="G58" t="s">
        <v>26</v>
      </c>
      <c r="H58" t="s">
        <v>40</v>
      </c>
    </row>
    <row r="59" spans="1:8" x14ac:dyDescent="0.45">
      <c r="A59" t="s">
        <v>88</v>
      </c>
      <c r="B59" s="2">
        <v>46193</v>
      </c>
      <c r="C59" t="s">
        <v>39</v>
      </c>
      <c r="D59">
        <v>2</v>
      </c>
      <c r="E59" s="3">
        <v>191.22</v>
      </c>
      <c r="F59" s="3">
        <v>382.44</v>
      </c>
      <c r="G59" t="s">
        <v>23</v>
      </c>
      <c r="H59" t="s">
        <v>29</v>
      </c>
    </row>
    <row r="60" spans="1:8" x14ac:dyDescent="0.45">
      <c r="A60" t="s">
        <v>89</v>
      </c>
      <c r="B60" s="2">
        <v>46184</v>
      </c>
      <c r="C60" t="s">
        <v>19</v>
      </c>
      <c r="D60">
        <v>2</v>
      </c>
      <c r="E60" s="3">
        <v>183.47</v>
      </c>
      <c r="F60" s="3">
        <v>366.94</v>
      </c>
      <c r="G60" t="s">
        <v>26</v>
      </c>
      <c r="H60" t="s">
        <v>29</v>
      </c>
    </row>
    <row r="61" spans="1:8" x14ac:dyDescent="0.45">
      <c r="A61" t="s">
        <v>90</v>
      </c>
      <c r="B61" s="2">
        <v>46185</v>
      </c>
      <c r="C61" t="s">
        <v>64</v>
      </c>
      <c r="D61">
        <v>2</v>
      </c>
      <c r="E61" s="3">
        <v>36.29</v>
      </c>
      <c r="F61" s="3">
        <v>72.58</v>
      </c>
      <c r="G61" t="s">
        <v>14</v>
      </c>
      <c r="H61" t="s">
        <v>36</v>
      </c>
    </row>
    <row r="62" spans="1:8" x14ac:dyDescent="0.45">
      <c r="A62" t="s">
        <v>91</v>
      </c>
      <c r="B62" s="2">
        <v>46139</v>
      </c>
      <c r="C62" t="s">
        <v>28</v>
      </c>
      <c r="D62">
        <v>7</v>
      </c>
      <c r="E62" s="3">
        <v>208.15</v>
      </c>
      <c r="F62" s="3">
        <v>1457.05</v>
      </c>
      <c r="G62" t="s">
        <v>10</v>
      </c>
      <c r="H62" t="s">
        <v>29</v>
      </c>
    </row>
    <row r="63" spans="1:8" x14ac:dyDescent="0.45">
      <c r="A63" t="s">
        <v>92</v>
      </c>
      <c r="B63" s="2">
        <v>46032</v>
      </c>
      <c r="C63" t="s">
        <v>33</v>
      </c>
      <c r="D63">
        <v>5</v>
      </c>
      <c r="E63" s="3">
        <v>103.77</v>
      </c>
      <c r="F63" s="3">
        <v>518.85</v>
      </c>
      <c r="G63" t="s">
        <v>20</v>
      </c>
      <c r="H63" t="s">
        <v>17</v>
      </c>
    </row>
    <row r="64" spans="1:8" x14ac:dyDescent="0.45">
      <c r="A64" t="s">
        <v>93</v>
      </c>
      <c r="B64" s="2">
        <v>46113</v>
      </c>
      <c r="C64" t="s">
        <v>28</v>
      </c>
      <c r="D64">
        <v>7</v>
      </c>
      <c r="E64" s="3">
        <v>229.06</v>
      </c>
      <c r="F64" s="3">
        <v>1603.42</v>
      </c>
      <c r="G64" t="s">
        <v>20</v>
      </c>
      <c r="H64" t="s">
        <v>17</v>
      </c>
    </row>
    <row r="65" spans="1:8" x14ac:dyDescent="0.45">
      <c r="A65" t="s">
        <v>94</v>
      </c>
      <c r="B65" s="2">
        <v>46183</v>
      </c>
      <c r="C65" t="s">
        <v>44</v>
      </c>
      <c r="D65">
        <v>6</v>
      </c>
      <c r="E65" s="3">
        <v>132.61000000000001</v>
      </c>
      <c r="F65" s="3">
        <v>795.66</v>
      </c>
      <c r="G65" t="s">
        <v>14</v>
      </c>
      <c r="H65" t="s">
        <v>36</v>
      </c>
    </row>
    <row r="66" spans="1:8" x14ac:dyDescent="0.45">
      <c r="A66" t="s">
        <v>95</v>
      </c>
      <c r="B66" s="2">
        <v>46196</v>
      </c>
      <c r="C66" t="s">
        <v>39</v>
      </c>
      <c r="D66">
        <v>7</v>
      </c>
      <c r="E66" s="3">
        <v>213.29</v>
      </c>
      <c r="F66" s="3">
        <v>1493.03</v>
      </c>
      <c r="G66" t="s">
        <v>23</v>
      </c>
      <c r="H66" t="s">
        <v>21</v>
      </c>
    </row>
    <row r="67" spans="1:8" x14ac:dyDescent="0.45">
      <c r="A67" t="s">
        <v>96</v>
      </c>
      <c r="B67" s="2">
        <v>46169</v>
      </c>
      <c r="C67" t="s">
        <v>35</v>
      </c>
      <c r="D67">
        <v>4</v>
      </c>
      <c r="E67" s="3">
        <v>105.37</v>
      </c>
      <c r="F67" s="3">
        <v>421.48</v>
      </c>
      <c r="G67" t="s">
        <v>14</v>
      </c>
      <c r="H67" t="s">
        <v>40</v>
      </c>
    </row>
    <row r="68" spans="1:8" x14ac:dyDescent="0.45">
      <c r="A68" t="s">
        <v>97</v>
      </c>
      <c r="B68" s="2">
        <v>46071</v>
      </c>
      <c r="C68" t="s">
        <v>31</v>
      </c>
      <c r="D68">
        <v>1</v>
      </c>
      <c r="E68" s="3">
        <v>55.16</v>
      </c>
      <c r="F68" s="3">
        <v>55.16</v>
      </c>
      <c r="G68" t="s">
        <v>26</v>
      </c>
      <c r="H68" t="s">
        <v>40</v>
      </c>
    </row>
    <row r="69" spans="1:8" x14ac:dyDescent="0.45">
      <c r="A69" t="s">
        <v>98</v>
      </c>
      <c r="B69" s="2">
        <v>46098</v>
      </c>
      <c r="C69" t="s">
        <v>31</v>
      </c>
      <c r="D69">
        <v>8</v>
      </c>
      <c r="E69" s="3">
        <v>150.91</v>
      </c>
      <c r="F69" s="3">
        <v>1207.28</v>
      </c>
      <c r="G69" t="s">
        <v>10</v>
      </c>
      <c r="H69" t="s">
        <v>36</v>
      </c>
    </row>
    <row r="70" spans="1:8" x14ac:dyDescent="0.45">
      <c r="A70" t="s">
        <v>99</v>
      </c>
      <c r="B70" s="2">
        <v>46137</v>
      </c>
      <c r="C70" t="s">
        <v>44</v>
      </c>
      <c r="D70">
        <v>8</v>
      </c>
      <c r="E70" s="3">
        <v>55.16</v>
      </c>
      <c r="F70" s="3">
        <v>441.28</v>
      </c>
      <c r="G70" t="s">
        <v>10</v>
      </c>
      <c r="H70" t="s">
        <v>17</v>
      </c>
    </row>
    <row r="71" spans="1:8" x14ac:dyDescent="0.45">
      <c r="A71" t="s">
        <v>100</v>
      </c>
      <c r="B71" s="2">
        <v>46147</v>
      </c>
      <c r="C71" t="s">
        <v>33</v>
      </c>
      <c r="D71">
        <v>8</v>
      </c>
      <c r="E71" s="3">
        <v>114.94</v>
      </c>
      <c r="F71" s="3">
        <v>919.52</v>
      </c>
      <c r="G71" t="s">
        <v>26</v>
      </c>
      <c r="H71" t="s">
        <v>29</v>
      </c>
    </row>
    <row r="72" spans="1:8" x14ac:dyDescent="0.45">
      <c r="A72" t="s">
        <v>101</v>
      </c>
      <c r="B72" s="2">
        <v>46043</v>
      </c>
      <c r="C72" t="s">
        <v>44</v>
      </c>
      <c r="D72">
        <v>7</v>
      </c>
      <c r="E72" s="3">
        <v>123.53</v>
      </c>
      <c r="F72" s="3">
        <v>864.71</v>
      </c>
      <c r="G72" t="s">
        <v>20</v>
      </c>
      <c r="H72" t="s">
        <v>36</v>
      </c>
    </row>
    <row r="73" spans="1:8" x14ac:dyDescent="0.45">
      <c r="A73" t="s">
        <v>102</v>
      </c>
      <c r="B73" s="2">
        <v>46133</v>
      </c>
      <c r="C73" t="s">
        <v>9</v>
      </c>
      <c r="D73">
        <v>6</v>
      </c>
      <c r="E73" s="3">
        <v>106.03</v>
      </c>
      <c r="F73" s="3">
        <v>636.17999999999995</v>
      </c>
      <c r="G73" t="s">
        <v>10</v>
      </c>
      <c r="H73" t="s">
        <v>29</v>
      </c>
    </row>
    <row r="74" spans="1:8" x14ac:dyDescent="0.45">
      <c r="A74" t="s">
        <v>103</v>
      </c>
      <c r="B74" s="2">
        <v>46069</v>
      </c>
      <c r="C74" t="s">
        <v>39</v>
      </c>
      <c r="D74">
        <v>8</v>
      </c>
      <c r="E74" s="3">
        <v>179.22</v>
      </c>
      <c r="F74" s="3">
        <v>1433.76</v>
      </c>
      <c r="G74" t="s">
        <v>23</v>
      </c>
      <c r="H74" t="s">
        <v>29</v>
      </c>
    </row>
    <row r="75" spans="1:8" x14ac:dyDescent="0.45">
      <c r="A75" t="s">
        <v>104</v>
      </c>
      <c r="B75" s="2">
        <v>46133</v>
      </c>
      <c r="C75" t="s">
        <v>33</v>
      </c>
      <c r="D75">
        <v>7</v>
      </c>
      <c r="E75" s="3">
        <v>162.66</v>
      </c>
      <c r="F75" s="3">
        <v>1138.6199999999999</v>
      </c>
      <c r="G75" t="s">
        <v>10</v>
      </c>
      <c r="H75" t="s">
        <v>40</v>
      </c>
    </row>
    <row r="76" spans="1:8" x14ac:dyDescent="0.45">
      <c r="A76" t="s">
        <v>105</v>
      </c>
      <c r="B76" s="2">
        <v>46144</v>
      </c>
      <c r="C76" t="s">
        <v>35</v>
      </c>
      <c r="D76">
        <v>5</v>
      </c>
      <c r="E76" s="3">
        <v>207.98</v>
      </c>
      <c r="F76" s="3">
        <v>1039.9000000000001</v>
      </c>
      <c r="G76" t="s">
        <v>26</v>
      </c>
      <c r="H76" t="s">
        <v>11</v>
      </c>
    </row>
    <row r="77" spans="1:8" x14ac:dyDescent="0.45">
      <c r="A77" t="s">
        <v>106</v>
      </c>
      <c r="B77" s="2">
        <v>46160</v>
      </c>
      <c r="C77" t="s">
        <v>64</v>
      </c>
      <c r="D77">
        <v>7</v>
      </c>
      <c r="E77" s="3">
        <v>123.91</v>
      </c>
      <c r="F77" s="3">
        <v>867.37</v>
      </c>
      <c r="G77" t="s">
        <v>10</v>
      </c>
      <c r="H77" t="s">
        <v>11</v>
      </c>
    </row>
    <row r="78" spans="1:8" x14ac:dyDescent="0.45">
      <c r="A78" t="s">
        <v>107</v>
      </c>
      <c r="B78" s="2">
        <v>46158</v>
      </c>
      <c r="C78" t="s">
        <v>19</v>
      </c>
      <c r="D78">
        <v>4</v>
      </c>
      <c r="E78" s="3">
        <v>134.83000000000001</v>
      </c>
      <c r="F78" s="3">
        <v>539.32000000000005</v>
      </c>
      <c r="G78" t="s">
        <v>23</v>
      </c>
      <c r="H78" t="s">
        <v>29</v>
      </c>
    </row>
    <row r="79" spans="1:8" x14ac:dyDescent="0.45">
      <c r="A79" t="s">
        <v>108</v>
      </c>
      <c r="B79" s="2">
        <v>46163</v>
      </c>
      <c r="C79" t="s">
        <v>31</v>
      </c>
      <c r="D79">
        <v>6</v>
      </c>
      <c r="E79" s="3">
        <v>80.19</v>
      </c>
      <c r="F79" s="3">
        <v>481.14</v>
      </c>
      <c r="G79" t="s">
        <v>10</v>
      </c>
      <c r="H79" t="s">
        <v>21</v>
      </c>
    </row>
    <row r="80" spans="1:8" x14ac:dyDescent="0.45">
      <c r="A80" t="s">
        <v>109</v>
      </c>
      <c r="B80" s="2">
        <v>46116</v>
      </c>
      <c r="C80" t="s">
        <v>16</v>
      </c>
      <c r="D80">
        <v>6</v>
      </c>
      <c r="E80" s="3">
        <v>45.83</v>
      </c>
      <c r="F80" s="3">
        <v>274.98</v>
      </c>
      <c r="G80" t="s">
        <v>10</v>
      </c>
      <c r="H80" t="s">
        <v>21</v>
      </c>
    </row>
    <row r="81" spans="1:8" x14ac:dyDescent="0.45">
      <c r="A81" t="s">
        <v>110</v>
      </c>
      <c r="B81" s="2">
        <v>46093</v>
      </c>
      <c r="C81" t="s">
        <v>28</v>
      </c>
      <c r="D81">
        <v>7</v>
      </c>
      <c r="E81" s="3">
        <v>97.22</v>
      </c>
      <c r="F81" s="3">
        <v>680.54</v>
      </c>
      <c r="G81" t="s">
        <v>26</v>
      </c>
      <c r="H81" t="s">
        <v>40</v>
      </c>
    </row>
    <row r="82" spans="1:8" x14ac:dyDescent="0.45">
      <c r="A82" t="s">
        <v>111</v>
      </c>
      <c r="B82" s="2">
        <v>46100</v>
      </c>
      <c r="C82" t="s">
        <v>35</v>
      </c>
      <c r="D82">
        <v>7</v>
      </c>
      <c r="E82" s="3">
        <v>145.34</v>
      </c>
      <c r="F82" s="3">
        <v>1017.38</v>
      </c>
      <c r="G82" t="s">
        <v>14</v>
      </c>
      <c r="H82" t="s">
        <v>40</v>
      </c>
    </row>
    <row r="83" spans="1:8" x14ac:dyDescent="0.45">
      <c r="A83" t="s">
        <v>112</v>
      </c>
      <c r="B83" s="2">
        <v>46045</v>
      </c>
      <c r="C83" t="s">
        <v>13</v>
      </c>
      <c r="D83">
        <v>1</v>
      </c>
      <c r="E83" s="3">
        <v>78.430000000000007</v>
      </c>
      <c r="F83" s="3">
        <v>78.430000000000007</v>
      </c>
      <c r="G83" t="s">
        <v>20</v>
      </c>
      <c r="H83" t="s">
        <v>17</v>
      </c>
    </row>
    <row r="84" spans="1:8" x14ac:dyDescent="0.45">
      <c r="A84" t="s">
        <v>113</v>
      </c>
      <c r="B84" s="2">
        <v>46075</v>
      </c>
      <c r="C84" t="s">
        <v>35</v>
      </c>
      <c r="D84">
        <v>4</v>
      </c>
      <c r="E84" s="3">
        <v>24.31</v>
      </c>
      <c r="F84" s="3">
        <v>97.24</v>
      </c>
      <c r="G84" t="s">
        <v>14</v>
      </c>
      <c r="H84" t="s">
        <v>36</v>
      </c>
    </row>
    <row r="85" spans="1:8" x14ac:dyDescent="0.45">
      <c r="A85" t="s">
        <v>114</v>
      </c>
      <c r="B85" s="2">
        <v>46173</v>
      </c>
      <c r="C85" t="s">
        <v>25</v>
      </c>
      <c r="D85">
        <v>3</v>
      </c>
      <c r="E85" s="3">
        <v>110.73</v>
      </c>
      <c r="F85" s="3">
        <v>332.19</v>
      </c>
      <c r="G85" t="s">
        <v>26</v>
      </c>
      <c r="H85" t="s">
        <v>11</v>
      </c>
    </row>
    <row r="86" spans="1:8" x14ac:dyDescent="0.45">
      <c r="A86" t="s">
        <v>115</v>
      </c>
      <c r="B86" s="2">
        <v>46102</v>
      </c>
      <c r="C86" t="s">
        <v>44</v>
      </c>
      <c r="D86">
        <v>1</v>
      </c>
      <c r="E86" s="3">
        <v>211.31</v>
      </c>
      <c r="F86" s="3">
        <v>211.31</v>
      </c>
      <c r="G86" t="s">
        <v>23</v>
      </c>
      <c r="H86" t="s">
        <v>40</v>
      </c>
    </row>
    <row r="87" spans="1:8" x14ac:dyDescent="0.45">
      <c r="A87" t="s">
        <v>116</v>
      </c>
      <c r="B87" s="2">
        <v>46025</v>
      </c>
      <c r="C87" t="s">
        <v>19</v>
      </c>
      <c r="D87">
        <v>6</v>
      </c>
      <c r="E87" s="3">
        <v>129.28</v>
      </c>
      <c r="F87" s="3">
        <v>775.68</v>
      </c>
      <c r="G87" t="s">
        <v>14</v>
      </c>
      <c r="H87" t="s">
        <v>17</v>
      </c>
    </row>
    <row r="88" spans="1:8" x14ac:dyDescent="0.45">
      <c r="A88" t="s">
        <v>117</v>
      </c>
      <c r="B88" s="2">
        <v>46154</v>
      </c>
      <c r="C88" t="s">
        <v>19</v>
      </c>
      <c r="D88">
        <v>6</v>
      </c>
      <c r="E88" s="3">
        <v>119.41</v>
      </c>
      <c r="F88" s="3">
        <v>716.46</v>
      </c>
      <c r="G88" t="s">
        <v>20</v>
      </c>
      <c r="H88" t="s">
        <v>40</v>
      </c>
    </row>
    <row r="89" spans="1:8" x14ac:dyDescent="0.45">
      <c r="A89" t="s">
        <v>118</v>
      </c>
      <c r="B89" s="2">
        <v>46088</v>
      </c>
      <c r="C89" t="s">
        <v>28</v>
      </c>
      <c r="D89">
        <v>5</v>
      </c>
      <c r="E89" s="3">
        <v>247.06</v>
      </c>
      <c r="F89" s="3">
        <v>1235.3</v>
      </c>
      <c r="G89" t="s">
        <v>23</v>
      </c>
      <c r="H89" t="s">
        <v>29</v>
      </c>
    </row>
    <row r="90" spans="1:8" x14ac:dyDescent="0.45">
      <c r="A90" t="s">
        <v>119</v>
      </c>
      <c r="B90" s="2">
        <v>46199</v>
      </c>
      <c r="C90" t="s">
        <v>44</v>
      </c>
      <c r="D90">
        <v>8</v>
      </c>
      <c r="E90" s="3">
        <v>70.14</v>
      </c>
      <c r="F90" s="3">
        <v>561.12</v>
      </c>
      <c r="G90" t="s">
        <v>14</v>
      </c>
      <c r="H90" t="s">
        <v>17</v>
      </c>
    </row>
    <row r="91" spans="1:8" x14ac:dyDescent="0.45">
      <c r="A91" t="s">
        <v>120</v>
      </c>
      <c r="B91" s="2">
        <v>46058</v>
      </c>
      <c r="C91" t="s">
        <v>33</v>
      </c>
      <c r="D91">
        <v>8</v>
      </c>
      <c r="E91" s="3">
        <v>190.32</v>
      </c>
      <c r="F91" s="3">
        <v>1522.56</v>
      </c>
      <c r="G91" t="s">
        <v>26</v>
      </c>
      <c r="H91" t="s">
        <v>29</v>
      </c>
    </row>
    <row r="92" spans="1:8" x14ac:dyDescent="0.45">
      <c r="A92" t="s">
        <v>121</v>
      </c>
      <c r="B92" s="2">
        <v>46138</v>
      </c>
      <c r="C92" t="s">
        <v>33</v>
      </c>
      <c r="D92">
        <v>2</v>
      </c>
      <c r="E92" s="3">
        <v>47.23</v>
      </c>
      <c r="F92" s="3">
        <v>94.46</v>
      </c>
      <c r="G92" t="s">
        <v>23</v>
      </c>
      <c r="H92" t="s">
        <v>11</v>
      </c>
    </row>
    <row r="93" spans="1:8" x14ac:dyDescent="0.45">
      <c r="A93" t="s">
        <v>122</v>
      </c>
      <c r="B93" s="2">
        <v>46142</v>
      </c>
      <c r="C93" t="s">
        <v>39</v>
      </c>
      <c r="D93">
        <v>2</v>
      </c>
      <c r="E93" s="3">
        <v>129.16</v>
      </c>
      <c r="F93" s="3">
        <v>258.32</v>
      </c>
      <c r="G93" t="s">
        <v>20</v>
      </c>
      <c r="H93" t="s">
        <v>11</v>
      </c>
    </row>
    <row r="94" spans="1:8" x14ac:dyDescent="0.45">
      <c r="A94" t="s">
        <v>123</v>
      </c>
      <c r="B94" s="2">
        <v>46105</v>
      </c>
      <c r="C94" t="s">
        <v>39</v>
      </c>
      <c r="D94">
        <v>4</v>
      </c>
      <c r="E94" s="3">
        <v>204.21</v>
      </c>
      <c r="F94" s="3">
        <v>816.84</v>
      </c>
      <c r="G94" t="s">
        <v>10</v>
      </c>
      <c r="H94" t="s">
        <v>36</v>
      </c>
    </row>
    <row r="95" spans="1:8" x14ac:dyDescent="0.45">
      <c r="A95" t="s">
        <v>124</v>
      </c>
      <c r="B95" s="2">
        <v>46096</v>
      </c>
      <c r="C95" t="s">
        <v>31</v>
      </c>
      <c r="D95">
        <v>7</v>
      </c>
      <c r="E95" s="3">
        <v>101.14</v>
      </c>
      <c r="F95" s="3">
        <v>707.98</v>
      </c>
      <c r="G95" t="s">
        <v>23</v>
      </c>
      <c r="H95" t="s">
        <v>17</v>
      </c>
    </row>
    <row r="96" spans="1:8" x14ac:dyDescent="0.45">
      <c r="A96" t="s">
        <v>125</v>
      </c>
      <c r="B96" s="2">
        <v>46185</v>
      </c>
      <c r="C96" t="s">
        <v>19</v>
      </c>
      <c r="D96">
        <v>4</v>
      </c>
      <c r="E96" s="3">
        <v>87.02</v>
      </c>
      <c r="F96" s="3">
        <v>348.08</v>
      </c>
      <c r="G96" t="s">
        <v>26</v>
      </c>
      <c r="H96" t="s">
        <v>29</v>
      </c>
    </row>
    <row r="97" spans="1:8" x14ac:dyDescent="0.45">
      <c r="A97" t="s">
        <v>126</v>
      </c>
      <c r="B97" s="2">
        <v>46036</v>
      </c>
      <c r="C97" t="s">
        <v>13</v>
      </c>
      <c r="D97">
        <v>3</v>
      </c>
      <c r="E97" s="3">
        <v>95.05</v>
      </c>
      <c r="F97" s="3">
        <v>285.14999999999998</v>
      </c>
      <c r="G97" t="s">
        <v>10</v>
      </c>
      <c r="H97" t="s">
        <v>21</v>
      </c>
    </row>
    <row r="98" spans="1:8" x14ac:dyDescent="0.45">
      <c r="A98" t="s">
        <v>127</v>
      </c>
      <c r="B98" s="2">
        <v>46028</v>
      </c>
      <c r="C98" t="s">
        <v>19</v>
      </c>
      <c r="D98">
        <v>2</v>
      </c>
      <c r="E98" s="3">
        <v>157.18</v>
      </c>
      <c r="F98" s="3">
        <v>314.36</v>
      </c>
      <c r="G98" t="s">
        <v>20</v>
      </c>
      <c r="H98" t="s">
        <v>11</v>
      </c>
    </row>
    <row r="99" spans="1:8" x14ac:dyDescent="0.45">
      <c r="A99" t="s">
        <v>128</v>
      </c>
      <c r="B99" s="2">
        <v>46184</v>
      </c>
      <c r="C99" t="s">
        <v>9</v>
      </c>
      <c r="D99">
        <v>7</v>
      </c>
      <c r="E99" s="3">
        <v>200.15</v>
      </c>
      <c r="F99" s="3">
        <v>1401.05</v>
      </c>
      <c r="G99" t="s">
        <v>14</v>
      </c>
      <c r="H99" t="s">
        <v>21</v>
      </c>
    </row>
    <row r="100" spans="1:8" x14ac:dyDescent="0.45">
      <c r="A100" t="s">
        <v>129</v>
      </c>
      <c r="B100" s="2">
        <v>46121</v>
      </c>
      <c r="C100" t="s">
        <v>44</v>
      </c>
      <c r="D100">
        <v>8</v>
      </c>
      <c r="E100" s="3">
        <v>211.02</v>
      </c>
      <c r="F100" s="3">
        <v>1688.16</v>
      </c>
      <c r="G100" t="s">
        <v>14</v>
      </c>
      <c r="H100" t="s">
        <v>36</v>
      </c>
    </row>
    <row r="101" spans="1:8" x14ac:dyDescent="0.45">
      <c r="A101" t="s">
        <v>130</v>
      </c>
      <c r="B101" s="2">
        <v>46170</v>
      </c>
      <c r="C101" t="s">
        <v>25</v>
      </c>
      <c r="D101">
        <v>6</v>
      </c>
      <c r="E101" s="3">
        <v>95.39</v>
      </c>
      <c r="F101" s="3">
        <v>572.34</v>
      </c>
      <c r="G101" t="s">
        <v>10</v>
      </c>
      <c r="H101" t="s">
        <v>21</v>
      </c>
    </row>
    <row r="102" spans="1:8" x14ac:dyDescent="0.45">
      <c r="A102" t="s">
        <v>131</v>
      </c>
      <c r="B102" s="2">
        <v>46120</v>
      </c>
      <c r="C102" t="s">
        <v>64</v>
      </c>
      <c r="D102">
        <v>3</v>
      </c>
      <c r="E102" s="3">
        <v>174.42</v>
      </c>
      <c r="F102" s="3">
        <v>523.26</v>
      </c>
      <c r="G102" t="s">
        <v>20</v>
      </c>
      <c r="H102" t="s">
        <v>36</v>
      </c>
    </row>
    <row r="103" spans="1:8" x14ac:dyDescent="0.45">
      <c r="A103" t="s">
        <v>132</v>
      </c>
      <c r="B103" s="2">
        <v>46151</v>
      </c>
      <c r="C103" t="s">
        <v>28</v>
      </c>
      <c r="D103">
        <v>3</v>
      </c>
      <c r="E103" s="3">
        <v>20.420000000000002</v>
      </c>
      <c r="F103" s="3">
        <v>61.26</v>
      </c>
      <c r="G103" t="s">
        <v>10</v>
      </c>
      <c r="H103" t="s">
        <v>36</v>
      </c>
    </row>
    <row r="104" spans="1:8" x14ac:dyDescent="0.45">
      <c r="A104" t="s">
        <v>133</v>
      </c>
      <c r="B104" s="2">
        <v>46114</v>
      </c>
      <c r="C104" t="s">
        <v>31</v>
      </c>
      <c r="D104">
        <v>2</v>
      </c>
      <c r="E104" s="3">
        <v>147.5</v>
      </c>
      <c r="F104" s="3">
        <v>295</v>
      </c>
      <c r="G104" t="s">
        <v>10</v>
      </c>
      <c r="H104" t="s">
        <v>40</v>
      </c>
    </row>
    <row r="105" spans="1:8" x14ac:dyDescent="0.45">
      <c r="A105" t="s">
        <v>134</v>
      </c>
      <c r="B105" s="2">
        <v>46070</v>
      </c>
      <c r="C105" t="s">
        <v>64</v>
      </c>
      <c r="D105">
        <v>5</v>
      </c>
      <c r="E105" s="3">
        <v>145.81</v>
      </c>
      <c r="F105" s="3">
        <v>729.05</v>
      </c>
      <c r="G105" t="s">
        <v>10</v>
      </c>
      <c r="H105" t="s">
        <v>40</v>
      </c>
    </row>
    <row r="106" spans="1:8" x14ac:dyDescent="0.45">
      <c r="A106" t="s">
        <v>135</v>
      </c>
      <c r="B106" s="2">
        <v>46058</v>
      </c>
      <c r="C106" t="s">
        <v>33</v>
      </c>
      <c r="D106">
        <v>8</v>
      </c>
      <c r="E106" s="3">
        <v>199.7</v>
      </c>
      <c r="F106" s="3">
        <v>1597.6</v>
      </c>
      <c r="G106" t="s">
        <v>14</v>
      </c>
      <c r="H106" t="s">
        <v>17</v>
      </c>
    </row>
    <row r="107" spans="1:8" x14ac:dyDescent="0.45">
      <c r="A107" t="s">
        <v>136</v>
      </c>
      <c r="B107" s="2">
        <v>46197</v>
      </c>
      <c r="C107" t="s">
        <v>9</v>
      </c>
      <c r="D107">
        <v>1</v>
      </c>
      <c r="E107" s="3">
        <v>136.09</v>
      </c>
      <c r="F107" s="3">
        <v>136.09</v>
      </c>
      <c r="G107" t="s">
        <v>10</v>
      </c>
      <c r="H107" t="s">
        <v>17</v>
      </c>
    </row>
    <row r="108" spans="1:8" x14ac:dyDescent="0.45">
      <c r="A108" t="s">
        <v>137</v>
      </c>
      <c r="B108" s="2">
        <v>46198</v>
      </c>
      <c r="C108" t="s">
        <v>33</v>
      </c>
      <c r="D108">
        <v>5</v>
      </c>
      <c r="E108" s="3">
        <v>199.37</v>
      </c>
      <c r="F108" s="3">
        <v>996.85</v>
      </c>
      <c r="G108" t="s">
        <v>26</v>
      </c>
      <c r="H108" t="s">
        <v>17</v>
      </c>
    </row>
    <row r="109" spans="1:8" x14ac:dyDescent="0.45">
      <c r="A109" t="s">
        <v>138</v>
      </c>
      <c r="B109" s="2">
        <v>46112</v>
      </c>
      <c r="C109" t="s">
        <v>35</v>
      </c>
      <c r="D109">
        <v>5</v>
      </c>
      <c r="E109" s="3">
        <v>21.33</v>
      </c>
      <c r="F109" s="3">
        <v>106.65</v>
      </c>
      <c r="G109" t="s">
        <v>26</v>
      </c>
      <c r="H109" t="s">
        <v>11</v>
      </c>
    </row>
    <row r="110" spans="1:8" x14ac:dyDescent="0.45">
      <c r="A110" t="s">
        <v>139</v>
      </c>
      <c r="B110" s="2">
        <v>46123</v>
      </c>
      <c r="C110" t="s">
        <v>9</v>
      </c>
      <c r="D110">
        <v>5</v>
      </c>
      <c r="E110" s="3">
        <v>92.38</v>
      </c>
      <c r="F110" s="3">
        <v>461.9</v>
      </c>
      <c r="G110" t="s">
        <v>14</v>
      </c>
      <c r="H110" t="s">
        <v>36</v>
      </c>
    </row>
    <row r="111" spans="1:8" x14ac:dyDescent="0.45">
      <c r="A111" t="s">
        <v>140</v>
      </c>
      <c r="B111" s="2">
        <v>46066</v>
      </c>
      <c r="C111" t="s">
        <v>9</v>
      </c>
      <c r="D111">
        <v>2</v>
      </c>
      <c r="E111" s="3">
        <v>82.19</v>
      </c>
      <c r="F111" s="3">
        <v>164.38</v>
      </c>
      <c r="G111" t="s">
        <v>10</v>
      </c>
      <c r="H111" t="s">
        <v>40</v>
      </c>
    </row>
    <row r="112" spans="1:8" x14ac:dyDescent="0.45">
      <c r="A112" t="s">
        <v>141</v>
      </c>
      <c r="B112" s="2">
        <v>46200</v>
      </c>
      <c r="C112" t="s">
        <v>19</v>
      </c>
      <c r="D112">
        <v>5</v>
      </c>
      <c r="E112" s="3">
        <v>164.71</v>
      </c>
      <c r="F112" s="3">
        <v>823.55</v>
      </c>
      <c r="G112" t="s">
        <v>14</v>
      </c>
      <c r="H112" t="s">
        <v>40</v>
      </c>
    </row>
    <row r="113" spans="1:8" x14ac:dyDescent="0.45">
      <c r="A113" t="s">
        <v>142</v>
      </c>
      <c r="B113" s="2">
        <v>46066</v>
      </c>
      <c r="C113" t="s">
        <v>19</v>
      </c>
      <c r="D113">
        <v>3</v>
      </c>
      <c r="E113" s="3">
        <v>16.97</v>
      </c>
      <c r="F113" s="3">
        <v>50.91</v>
      </c>
      <c r="G113" t="s">
        <v>23</v>
      </c>
      <c r="H113" t="s">
        <v>11</v>
      </c>
    </row>
    <row r="114" spans="1:8" x14ac:dyDescent="0.45">
      <c r="A114" t="s">
        <v>143</v>
      </c>
      <c r="B114" s="2">
        <v>46110</v>
      </c>
      <c r="C114" t="s">
        <v>28</v>
      </c>
      <c r="D114">
        <v>5</v>
      </c>
      <c r="E114" s="3">
        <v>116.14</v>
      </c>
      <c r="F114" s="3">
        <v>580.70000000000005</v>
      </c>
      <c r="G114" t="s">
        <v>23</v>
      </c>
      <c r="H114" t="s">
        <v>29</v>
      </c>
    </row>
    <row r="115" spans="1:8" x14ac:dyDescent="0.45">
      <c r="A115" t="s">
        <v>144</v>
      </c>
      <c r="B115" s="2">
        <v>46070</v>
      </c>
      <c r="C115" t="s">
        <v>39</v>
      </c>
      <c r="D115">
        <v>8</v>
      </c>
      <c r="E115" s="3">
        <v>101.26</v>
      </c>
      <c r="F115" s="3">
        <v>810.08</v>
      </c>
      <c r="G115" t="s">
        <v>26</v>
      </c>
      <c r="H115" t="s">
        <v>36</v>
      </c>
    </row>
    <row r="116" spans="1:8" x14ac:dyDescent="0.45">
      <c r="A116" t="s">
        <v>145</v>
      </c>
      <c r="B116" s="2">
        <v>46106</v>
      </c>
      <c r="C116" t="s">
        <v>28</v>
      </c>
      <c r="D116">
        <v>3</v>
      </c>
      <c r="E116" s="3">
        <v>106.98</v>
      </c>
      <c r="F116" s="3">
        <v>320.94</v>
      </c>
      <c r="G116" t="s">
        <v>10</v>
      </c>
      <c r="H116" t="s">
        <v>11</v>
      </c>
    </row>
    <row r="117" spans="1:8" x14ac:dyDescent="0.45">
      <c r="A117" t="s">
        <v>146</v>
      </c>
      <c r="B117" s="2">
        <v>46180</v>
      </c>
      <c r="C117" t="s">
        <v>25</v>
      </c>
      <c r="D117">
        <v>6</v>
      </c>
      <c r="E117" s="3">
        <v>217.82</v>
      </c>
      <c r="F117" s="3">
        <v>1306.92</v>
      </c>
      <c r="G117" t="s">
        <v>10</v>
      </c>
      <c r="H117" t="s">
        <v>40</v>
      </c>
    </row>
    <row r="118" spans="1:8" x14ac:dyDescent="0.45">
      <c r="A118" t="s">
        <v>147</v>
      </c>
      <c r="B118" s="2">
        <v>46115</v>
      </c>
      <c r="C118" t="s">
        <v>13</v>
      </c>
      <c r="D118">
        <v>4</v>
      </c>
      <c r="E118" s="3">
        <v>82.75</v>
      </c>
      <c r="F118" s="3">
        <v>331</v>
      </c>
      <c r="G118" t="s">
        <v>26</v>
      </c>
      <c r="H118" t="s">
        <v>21</v>
      </c>
    </row>
    <row r="119" spans="1:8" x14ac:dyDescent="0.45">
      <c r="A119" t="s">
        <v>148</v>
      </c>
      <c r="B119" s="2">
        <v>46201</v>
      </c>
      <c r="C119" t="s">
        <v>16</v>
      </c>
      <c r="D119">
        <v>2</v>
      </c>
      <c r="E119" s="3">
        <v>63.53</v>
      </c>
      <c r="F119" s="3">
        <v>127.06</v>
      </c>
      <c r="G119" t="s">
        <v>10</v>
      </c>
      <c r="H119" t="s">
        <v>36</v>
      </c>
    </row>
    <row r="120" spans="1:8" x14ac:dyDescent="0.45">
      <c r="A120" t="s">
        <v>149</v>
      </c>
      <c r="B120" s="2">
        <v>46153</v>
      </c>
      <c r="C120" t="s">
        <v>28</v>
      </c>
      <c r="D120">
        <v>5</v>
      </c>
      <c r="E120" s="3">
        <v>133.97999999999999</v>
      </c>
      <c r="F120" s="3">
        <v>669.9</v>
      </c>
      <c r="G120" t="s">
        <v>20</v>
      </c>
      <c r="H120" t="s">
        <v>17</v>
      </c>
    </row>
    <row r="121" spans="1:8" x14ac:dyDescent="0.45">
      <c r="A121" t="s">
        <v>150</v>
      </c>
      <c r="B121" s="2">
        <v>46150</v>
      </c>
      <c r="C121" t="s">
        <v>44</v>
      </c>
      <c r="D121">
        <v>2</v>
      </c>
      <c r="E121" s="3">
        <v>40.29</v>
      </c>
      <c r="F121" s="3">
        <v>80.58</v>
      </c>
      <c r="G121" t="s">
        <v>23</v>
      </c>
      <c r="H121" t="s">
        <v>40</v>
      </c>
    </row>
    <row r="122" spans="1:8" x14ac:dyDescent="0.45">
      <c r="A122" t="s">
        <v>151</v>
      </c>
      <c r="B122" s="2">
        <v>46105</v>
      </c>
      <c r="C122" t="s">
        <v>35</v>
      </c>
      <c r="D122">
        <v>5</v>
      </c>
      <c r="E122" s="3">
        <v>67.680000000000007</v>
      </c>
      <c r="F122" s="3">
        <v>338.4</v>
      </c>
      <c r="G122" t="s">
        <v>23</v>
      </c>
      <c r="H122" t="s">
        <v>21</v>
      </c>
    </row>
    <row r="123" spans="1:8" x14ac:dyDescent="0.45">
      <c r="A123" t="s">
        <v>152</v>
      </c>
      <c r="B123" s="2">
        <v>46046</v>
      </c>
      <c r="C123" t="s">
        <v>25</v>
      </c>
      <c r="D123">
        <v>4</v>
      </c>
      <c r="E123" s="3">
        <v>155.01</v>
      </c>
      <c r="F123" s="3">
        <v>620.04</v>
      </c>
      <c r="G123" t="s">
        <v>23</v>
      </c>
      <c r="H123" t="s">
        <v>29</v>
      </c>
    </row>
    <row r="124" spans="1:8" x14ac:dyDescent="0.45">
      <c r="A124" t="s">
        <v>153</v>
      </c>
      <c r="B124" s="2">
        <v>46181</v>
      </c>
      <c r="C124" t="s">
        <v>19</v>
      </c>
      <c r="D124">
        <v>7</v>
      </c>
      <c r="E124" s="3">
        <v>164.92</v>
      </c>
      <c r="F124" s="3">
        <v>1154.44</v>
      </c>
      <c r="G124" t="s">
        <v>20</v>
      </c>
      <c r="H124" t="s">
        <v>11</v>
      </c>
    </row>
    <row r="125" spans="1:8" x14ac:dyDescent="0.45">
      <c r="A125" t="s">
        <v>154</v>
      </c>
      <c r="B125" s="2">
        <v>46030</v>
      </c>
      <c r="C125" t="s">
        <v>16</v>
      </c>
      <c r="D125">
        <v>4</v>
      </c>
      <c r="E125" s="3">
        <v>73.540000000000006</v>
      </c>
      <c r="F125" s="3">
        <v>294.16000000000003</v>
      </c>
      <c r="G125" t="s">
        <v>26</v>
      </c>
      <c r="H125" t="s">
        <v>40</v>
      </c>
    </row>
    <row r="126" spans="1:8" x14ac:dyDescent="0.45">
      <c r="A126" t="s">
        <v>155</v>
      </c>
      <c r="B126" s="2">
        <v>46061</v>
      </c>
      <c r="C126" t="s">
        <v>33</v>
      </c>
      <c r="D126">
        <v>6</v>
      </c>
      <c r="E126" s="3">
        <v>64.569999999999993</v>
      </c>
      <c r="F126" s="3">
        <v>387.42</v>
      </c>
      <c r="G126" t="s">
        <v>26</v>
      </c>
      <c r="H126" t="s">
        <v>17</v>
      </c>
    </row>
    <row r="127" spans="1:8" x14ac:dyDescent="0.45">
      <c r="A127" t="s">
        <v>156</v>
      </c>
      <c r="B127" s="2">
        <v>46078</v>
      </c>
      <c r="C127" t="s">
        <v>33</v>
      </c>
      <c r="D127">
        <v>6</v>
      </c>
      <c r="E127" s="3">
        <v>100.31</v>
      </c>
      <c r="F127" s="3">
        <v>601.86</v>
      </c>
      <c r="G127" t="s">
        <v>23</v>
      </c>
      <c r="H127" t="s">
        <v>40</v>
      </c>
    </row>
    <row r="128" spans="1:8" x14ac:dyDescent="0.45">
      <c r="A128" t="s">
        <v>157</v>
      </c>
      <c r="B128" s="2">
        <v>46036</v>
      </c>
      <c r="C128" t="s">
        <v>44</v>
      </c>
      <c r="D128">
        <v>2</v>
      </c>
      <c r="E128" s="3">
        <v>101.62</v>
      </c>
      <c r="F128" s="3">
        <v>203.24</v>
      </c>
      <c r="G128" t="s">
        <v>20</v>
      </c>
      <c r="H128" t="s">
        <v>36</v>
      </c>
    </row>
    <row r="129" spans="1:8" x14ac:dyDescent="0.45">
      <c r="A129" t="s">
        <v>158</v>
      </c>
      <c r="B129" s="2">
        <v>46046</v>
      </c>
      <c r="C129" t="s">
        <v>19</v>
      </c>
      <c r="D129">
        <v>1</v>
      </c>
      <c r="E129" s="3">
        <v>218.28</v>
      </c>
      <c r="F129" s="3">
        <v>218.28</v>
      </c>
      <c r="G129" t="s">
        <v>20</v>
      </c>
      <c r="H129" t="s">
        <v>36</v>
      </c>
    </row>
    <row r="130" spans="1:8" x14ac:dyDescent="0.45">
      <c r="A130" t="s">
        <v>159</v>
      </c>
      <c r="B130" s="2">
        <v>46144</v>
      </c>
      <c r="C130" t="s">
        <v>64</v>
      </c>
      <c r="D130">
        <v>7</v>
      </c>
      <c r="E130" s="3">
        <v>136.88999999999999</v>
      </c>
      <c r="F130" s="3">
        <v>958.23</v>
      </c>
      <c r="G130" t="s">
        <v>26</v>
      </c>
      <c r="H130" t="s">
        <v>21</v>
      </c>
    </row>
    <row r="131" spans="1:8" x14ac:dyDescent="0.45">
      <c r="A131" t="s">
        <v>160</v>
      </c>
      <c r="B131" s="2">
        <v>46161</v>
      </c>
      <c r="C131" t="s">
        <v>44</v>
      </c>
      <c r="D131">
        <v>7</v>
      </c>
      <c r="E131" s="3">
        <v>222.09</v>
      </c>
      <c r="F131" s="3">
        <v>1554.63</v>
      </c>
      <c r="G131" t="s">
        <v>20</v>
      </c>
      <c r="H131" t="s">
        <v>36</v>
      </c>
    </row>
    <row r="132" spans="1:8" x14ac:dyDescent="0.45">
      <c r="A132" t="s">
        <v>161</v>
      </c>
      <c r="B132" s="2">
        <v>46188</v>
      </c>
      <c r="C132" t="s">
        <v>9</v>
      </c>
      <c r="D132">
        <v>8</v>
      </c>
      <c r="E132" s="3">
        <v>216.34</v>
      </c>
      <c r="F132" s="3">
        <v>1730.72</v>
      </c>
      <c r="G132" t="s">
        <v>14</v>
      </c>
      <c r="H132" t="s">
        <v>21</v>
      </c>
    </row>
    <row r="133" spans="1:8" x14ac:dyDescent="0.45">
      <c r="A133" t="s">
        <v>162</v>
      </c>
      <c r="B133" s="2">
        <v>46155</v>
      </c>
      <c r="C133" t="s">
        <v>35</v>
      </c>
      <c r="D133">
        <v>8</v>
      </c>
      <c r="E133" s="3">
        <v>101.86</v>
      </c>
      <c r="F133" s="3">
        <v>814.88</v>
      </c>
      <c r="G133" t="s">
        <v>23</v>
      </c>
      <c r="H133" t="s">
        <v>11</v>
      </c>
    </row>
    <row r="134" spans="1:8" x14ac:dyDescent="0.45">
      <c r="A134" t="s">
        <v>163</v>
      </c>
      <c r="B134" s="2">
        <v>46061</v>
      </c>
      <c r="C134" t="s">
        <v>64</v>
      </c>
      <c r="D134">
        <v>4</v>
      </c>
      <c r="E134" s="3">
        <v>76.08</v>
      </c>
      <c r="F134" s="3">
        <v>304.32</v>
      </c>
      <c r="G134" t="s">
        <v>20</v>
      </c>
      <c r="H134" t="s">
        <v>21</v>
      </c>
    </row>
    <row r="135" spans="1:8" x14ac:dyDescent="0.45">
      <c r="A135" t="s">
        <v>164</v>
      </c>
      <c r="B135" s="2">
        <v>46157</v>
      </c>
      <c r="C135" t="s">
        <v>19</v>
      </c>
      <c r="D135">
        <v>4</v>
      </c>
      <c r="E135" s="3">
        <v>86.42</v>
      </c>
      <c r="F135" s="3">
        <v>345.68</v>
      </c>
      <c r="G135" t="s">
        <v>10</v>
      </c>
      <c r="H135" t="s">
        <v>29</v>
      </c>
    </row>
    <row r="136" spans="1:8" x14ac:dyDescent="0.45">
      <c r="A136" t="s">
        <v>165</v>
      </c>
      <c r="B136" s="2">
        <v>46160</v>
      </c>
      <c r="C136" t="s">
        <v>13</v>
      </c>
      <c r="D136">
        <v>4</v>
      </c>
      <c r="E136" s="3">
        <v>173.35</v>
      </c>
      <c r="F136" s="3">
        <v>693.4</v>
      </c>
      <c r="G136" t="s">
        <v>14</v>
      </c>
      <c r="H136" t="s">
        <v>36</v>
      </c>
    </row>
    <row r="137" spans="1:8" x14ac:dyDescent="0.45">
      <c r="A137" t="s">
        <v>166</v>
      </c>
      <c r="B137" s="2">
        <v>46197</v>
      </c>
      <c r="C137" t="s">
        <v>31</v>
      </c>
      <c r="D137">
        <v>1</v>
      </c>
      <c r="E137" s="3">
        <v>162.11000000000001</v>
      </c>
      <c r="F137" s="3">
        <v>162.11000000000001</v>
      </c>
      <c r="G137" t="s">
        <v>26</v>
      </c>
      <c r="H137" t="s">
        <v>17</v>
      </c>
    </row>
    <row r="138" spans="1:8" x14ac:dyDescent="0.45">
      <c r="A138" t="s">
        <v>167</v>
      </c>
      <c r="B138" s="2">
        <v>46184</v>
      </c>
      <c r="C138" t="s">
        <v>35</v>
      </c>
      <c r="D138">
        <v>5</v>
      </c>
      <c r="E138" s="3">
        <v>153.15</v>
      </c>
      <c r="F138" s="3">
        <v>765.75</v>
      </c>
      <c r="G138" t="s">
        <v>14</v>
      </c>
      <c r="H138" t="s">
        <v>36</v>
      </c>
    </row>
    <row r="139" spans="1:8" x14ac:dyDescent="0.45">
      <c r="A139" t="s">
        <v>168</v>
      </c>
      <c r="B139" s="2">
        <v>46170</v>
      </c>
      <c r="C139" t="s">
        <v>39</v>
      </c>
      <c r="D139">
        <v>2</v>
      </c>
      <c r="E139" s="3">
        <v>155.6</v>
      </c>
      <c r="F139" s="3">
        <v>311.2</v>
      </c>
      <c r="G139" t="s">
        <v>23</v>
      </c>
      <c r="H139" t="s">
        <v>11</v>
      </c>
    </row>
    <row r="140" spans="1:8" x14ac:dyDescent="0.45">
      <c r="A140" t="s">
        <v>169</v>
      </c>
      <c r="B140" s="2">
        <v>46169</v>
      </c>
      <c r="C140" t="s">
        <v>16</v>
      </c>
      <c r="D140">
        <v>6</v>
      </c>
      <c r="E140" s="3">
        <v>16.7</v>
      </c>
      <c r="F140" s="3">
        <v>100.2</v>
      </c>
      <c r="G140" t="s">
        <v>14</v>
      </c>
      <c r="H140" t="s">
        <v>11</v>
      </c>
    </row>
    <row r="141" spans="1:8" x14ac:dyDescent="0.45">
      <c r="A141" t="s">
        <v>170</v>
      </c>
      <c r="B141" s="2">
        <v>46025</v>
      </c>
      <c r="C141" t="s">
        <v>35</v>
      </c>
      <c r="D141">
        <v>6</v>
      </c>
      <c r="E141" s="3">
        <v>19.100000000000001</v>
      </c>
      <c r="F141" s="3">
        <v>114.6</v>
      </c>
      <c r="G141" t="s">
        <v>10</v>
      </c>
      <c r="H141" t="s">
        <v>36</v>
      </c>
    </row>
    <row r="142" spans="1:8" x14ac:dyDescent="0.45">
      <c r="A142" t="s">
        <v>171</v>
      </c>
      <c r="B142" s="2">
        <v>46105</v>
      </c>
      <c r="C142" t="s">
        <v>9</v>
      </c>
      <c r="D142">
        <v>7</v>
      </c>
      <c r="E142" s="3">
        <v>72.069999999999993</v>
      </c>
      <c r="F142" s="3">
        <v>504.49</v>
      </c>
      <c r="G142" t="s">
        <v>14</v>
      </c>
      <c r="H142" t="s">
        <v>29</v>
      </c>
    </row>
    <row r="143" spans="1:8" x14ac:dyDescent="0.45">
      <c r="A143" t="s">
        <v>172</v>
      </c>
      <c r="B143" s="2">
        <v>46132</v>
      </c>
      <c r="C143" t="s">
        <v>35</v>
      </c>
      <c r="D143">
        <v>1</v>
      </c>
      <c r="E143" s="3">
        <v>124.59</v>
      </c>
      <c r="F143" s="3">
        <v>124.59</v>
      </c>
      <c r="G143" t="s">
        <v>20</v>
      </c>
      <c r="H143" t="s">
        <v>17</v>
      </c>
    </row>
    <row r="144" spans="1:8" x14ac:dyDescent="0.45">
      <c r="A144" t="s">
        <v>173</v>
      </c>
      <c r="B144" s="2">
        <v>46134</v>
      </c>
      <c r="C144" t="s">
        <v>28</v>
      </c>
      <c r="D144">
        <v>4</v>
      </c>
      <c r="E144" s="3">
        <v>156.06</v>
      </c>
      <c r="F144" s="3">
        <v>624.24</v>
      </c>
      <c r="G144" t="s">
        <v>23</v>
      </c>
      <c r="H144" t="s">
        <v>21</v>
      </c>
    </row>
    <row r="145" spans="1:8" x14ac:dyDescent="0.45">
      <c r="A145" t="s">
        <v>174</v>
      </c>
      <c r="B145" s="2">
        <v>46181</v>
      </c>
      <c r="C145" t="s">
        <v>16</v>
      </c>
      <c r="D145">
        <v>7</v>
      </c>
      <c r="E145" s="3">
        <v>209.76</v>
      </c>
      <c r="F145" s="3">
        <v>1468.32</v>
      </c>
      <c r="G145" t="s">
        <v>23</v>
      </c>
      <c r="H145" t="s">
        <v>17</v>
      </c>
    </row>
    <row r="146" spans="1:8" x14ac:dyDescent="0.45">
      <c r="A146" t="s">
        <v>175</v>
      </c>
      <c r="B146" s="2">
        <v>46183</v>
      </c>
      <c r="C146" t="s">
        <v>19</v>
      </c>
      <c r="D146">
        <v>4</v>
      </c>
      <c r="E146" s="3">
        <v>156.38</v>
      </c>
      <c r="F146" s="3">
        <v>625.52</v>
      </c>
      <c r="G146" t="s">
        <v>14</v>
      </c>
      <c r="H146" t="s">
        <v>40</v>
      </c>
    </row>
    <row r="147" spans="1:8" x14ac:dyDescent="0.45">
      <c r="A147" t="s">
        <v>176</v>
      </c>
      <c r="B147" s="2">
        <v>46070</v>
      </c>
      <c r="C147" t="s">
        <v>35</v>
      </c>
      <c r="D147">
        <v>1</v>
      </c>
      <c r="E147" s="3">
        <v>160.51</v>
      </c>
      <c r="F147" s="3">
        <v>160.51</v>
      </c>
      <c r="G147" t="s">
        <v>10</v>
      </c>
      <c r="H147" t="s">
        <v>11</v>
      </c>
    </row>
    <row r="148" spans="1:8" x14ac:dyDescent="0.45">
      <c r="A148" t="s">
        <v>177</v>
      </c>
      <c r="B148" s="2">
        <v>46030</v>
      </c>
      <c r="C148" t="s">
        <v>19</v>
      </c>
      <c r="D148">
        <v>5</v>
      </c>
      <c r="E148" s="3">
        <v>97.85</v>
      </c>
      <c r="F148" s="3">
        <v>489.25</v>
      </c>
      <c r="G148" t="s">
        <v>26</v>
      </c>
      <c r="H148" t="s">
        <v>11</v>
      </c>
    </row>
    <row r="149" spans="1:8" x14ac:dyDescent="0.45">
      <c r="A149" t="s">
        <v>178</v>
      </c>
      <c r="B149" s="2">
        <v>46182</v>
      </c>
      <c r="C149" t="s">
        <v>31</v>
      </c>
      <c r="D149">
        <v>7</v>
      </c>
      <c r="E149" s="3">
        <v>154.63</v>
      </c>
      <c r="F149" s="3">
        <v>1082.4100000000001</v>
      </c>
      <c r="G149" t="s">
        <v>14</v>
      </c>
      <c r="H149" t="s">
        <v>36</v>
      </c>
    </row>
    <row r="150" spans="1:8" x14ac:dyDescent="0.45">
      <c r="A150" t="s">
        <v>179</v>
      </c>
      <c r="B150" s="2">
        <v>46177</v>
      </c>
      <c r="C150" t="s">
        <v>31</v>
      </c>
      <c r="D150">
        <v>3</v>
      </c>
      <c r="E150" s="3">
        <v>151.96</v>
      </c>
      <c r="F150" s="3">
        <v>455.88</v>
      </c>
      <c r="G150" t="s">
        <v>20</v>
      </c>
      <c r="H150" t="s">
        <v>11</v>
      </c>
    </row>
    <row r="151" spans="1:8" x14ac:dyDescent="0.45">
      <c r="A151" t="s">
        <v>180</v>
      </c>
      <c r="B151" s="2">
        <v>46139</v>
      </c>
      <c r="C151" t="s">
        <v>64</v>
      </c>
      <c r="D151">
        <v>4</v>
      </c>
      <c r="E151" s="3">
        <v>150.59</v>
      </c>
      <c r="F151" s="3">
        <v>602.36</v>
      </c>
      <c r="G151" t="s">
        <v>23</v>
      </c>
      <c r="H151" t="s">
        <v>21</v>
      </c>
    </row>
    <row r="152" spans="1:8" x14ac:dyDescent="0.45">
      <c r="A152" t="s">
        <v>181</v>
      </c>
      <c r="B152" s="2">
        <v>46106</v>
      </c>
      <c r="C152" t="s">
        <v>28</v>
      </c>
      <c r="D152">
        <v>3</v>
      </c>
      <c r="E152" s="3">
        <v>52.27</v>
      </c>
      <c r="F152" s="3">
        <v>156.81</v>
      </c>
      <c r="G152" t="s">
        <v>20</v>
      </c>
      <c r="H152" t="s">
        <v>17</v>
      </c>
    </row>
    <row r="153" spans="1:8" x14ac:dyDescent="0.45">
      <c r="A153" t="s">
        <v>182</v>
      </c>
      <c r="B153" s="2">
        <v>46125</v>
      </c>
      <c r="C153" t="s">
        <v>33</v>
      </c>
      <c r="D153">
        <v>1</v>
      </c>
      <c r="E153" s="3">
        <v>48.08</v>
      </c>
      <c r="F153" s="3">
        <v>48.08</v>
      </c>
      <c r="G153" t="s">
        <v>20</v>
      </c>
      <c r="H153" t="s">
        <v>40</v>
      </c>
    </row>
    <row r="154" spans="1:8" x14ac:dyDescent="0.45">
      <c r="A154" t="s">
        <v>183</v>
      </c>
      <c r="B154" s="2">
        <v>46099</v>
      </c>
      <c r="C154" t="s">
        <v>19</v>
      </c>
      <c r="D154">
        <v>7</v>
      </c>
      <c r="E154" s="3">
        <v>125.23</v>
      </c>
      <c r="F154" s="3">
        <v>876.61</v>
      </c>
      <c r="G154" t="s">
        <v>14</v>
      </c>
      <c r="H154" t="s">
        <v>21</v>
      </c>
    </row>
    <row r="155" spans="1:8" x14ac:dyDescent="0.45">
      <c r="A155" t="s">
        <v>184</v>
      </c>
      <c r="B155" s="2">
        <v>46060</v>
      </c>
      <c r="C155" t="s">
        <v>35</v>
      </c>
      <c r="D155">
        <v>2</v>
      </c>
      <c r="E155" s="3">
        <v>76.06</v>
      </c>
      <c r="F155" s="3">
        <v>152.12</v>
      </c>
      <c r="G155" t="s">
        <v>26</v>
      </c>
      <c r="H155" t="s">
        <v>21</v>
      </c>
    </row>
    <row r="156" spans="1:8" x14ac:dyDescent="0.45">
      <c r="A156" t="s">
        <v>185</v>
      </c>
      <c r="B156" s="2">
        <v>46102</v>
      </c>
      <c r="C156" t="s">
        <v>28</v>
      </c>
      <c r="D156">
        <v>5</v>
      </c>
      <c r="E156" s="3">
        <v>177.09</v>
      </c>
      <c r="F156" s="3">
        <v>885.45</v>
      </c>
      <c r="G156" t="s">
        <v>10</v>
      </c>
      <c r="H156" t="s">
        <v>29</v>
      </c>
    </row>
    <row r="157" spans="1:8" x14ac:dyDescent="0.45">
      <c r="A157" t="s">
        <v>186</v>
      </c>
      <c r="B157" s="2">
        <v>46104</v>
      </c>
      <c r="C157" t="s">
        <v>16</v>
      </c>
      <c r="D157">
        <v>2</v>
      </c>
      <c r="E157" s="3">
        <v>81.39</v>
      </c>
      <c r="F157" s="3">
        <v>162.78</v>
      </c>
      <c r="G157" t="s">
        <v>10</v>
      </c>
      <c r="H157" t="s">
        <v>17</v>
      </c>
    </row>
    <row r="158" spans="1:8" x14ac:dyDescent="0.45">
      <c r="A158" t="s">
        <v>187</v>
      </c>
      <c r="B158" s="2">
        <v>46196</v>
      </c>
      <c r="C158" t="s">
        <v>33</v>
      </c>
      <c r="D158">
        <v>8</v>
      </c>
      <c r="E158" s="3">
        <v>186.75</v>
      </c>
      <c r="F158" s="3">
        <v>1494</v>
      </c>
      <c r="G158" t="s">
        <v>26</v>
      </c>
      <c r="H158" t="s">
        <v>11</v>
      </c>
    </row>
    <row r="159" spans="1:8" x14ac:dyDescent="0.45">
      <c r="A159" t="s">
        <v>188</v>
      </c>
      <c r="B159" s="2">
        <v>46046</v>
      </c>
      <c r="C159" t="s">
        <v>13</v>
      </c>
      <c r="D159">
        <v>5</v>
      </c>
      <c r="E159" s="3">
        <v>105.75</v>
      </c>
      <c r="F159" s="3">
        <v>528.75</v>
      </c>
      <c r="G159" t="s">
        <v>14</v>
      </c>
      <c r="H159" t="s">
        <v>11</v>
      </c>
    </row>
    <row r="160" spans="1:8" x14ac:dyDescent="0.45">
      <c r="A160" t="s">
        <v>189</v>
      </c>
      <c r="B160" s="2">
        <v>46093</v>
      </c>
      <c r="C160" t="s">
        <v>28</v>
      </c>
      <c r="D160">
        <v>1</v>
      </c>
      <c r="E160" s="3">
        <v>166.85</v>
      </c>
      <c r="F160" s="3">
        <v>166.85</v>
      </c>
      <c r="G160" t="s">
        <v>20</v>
      </c>
      <c r="H160" t="s">
        <v>29</v>
      </c>
    </row>
    <row r="161" spans="1:8" x14ac:dyDescent="0.45">
      <c r="A161" t="s">
        <v>190</v>
      </c>
      <c r="B161" s="2">
        <v>46045</v>
      </c>
      <c r="C161" t="s">
        <v>35</v>
      </c>
      <c r="D161">
        <v>4</v>
      </c>
      <c r="E161" s="3">
        <v>84.28</v>
      </c>
      <c r="F161" s="3">
        <v>337.12</v>
      </c>
      <c r="G161" t="s">
        <v>26</v>
      </c>
      <c r="H161" t="s">
        <v>36</v>
      </c>
    </row>
    <row r="162" spans="1:8" x14ac:dyDescent="0.45">
      <c r="A162" t="s">
        <v>191</v>
      </c>
      <c r="B162" s="2">
        <v>46144</v>
      </c>
      <c r="C162" t="s">
        <v>25</v>
      </c>
      <c r="D162">
        <v>6</v>
      </c>
      <c r="E162" s="3">
        <v>131.34</v>
      </c>
      <c r="F162" s="3">
        <v>788.04</v>
      </c>
      <c r="G162" t="s">
        <v>14</v>
      </c>
      <c r="H162" t="s">
        <v>36</v>
      </c>
    </row>
    <row r="163" spans="1:8" x14ac:dyDescent="0.45">
      <c r="A163" t="s">
        <v>192</v>
      </c>
      <c r="B163" s="2">
        <v>46194</v>
      </c>
      <c r="C163" t="s">
        <v>35</v>
      </c>
      <c r="D163">
        <v>5</v>
      </c>
      <c r="E163" s="3">
        <v>162.13999999999999</v>
      </c>
      <c r="F163" s="3">
        <v>810.7</v>
      </c>
      <c r="G163" t="s">
        <v>26</v>
      </c>
      <c r="H163" t="s">
        <v>21</v>
      </c>
    </row>
    <row r="164" spans="1:8" x14ac:dyDescent="0.45">
      <c r="A164" t="s">
        <v>193</v>
      </c>
      <c r="B164" s="2">
        <v>46104</v>
      </c>
      <c r="C164" t="s">
        <v>39</v>
      </c>
      <c r="D164">
        <v>3</v>
      </c>
      <c r="E164" s="3">
        <v>202.78</v>
      </c>
      <c r="F164" s="3">
        <v>608.34</v>
      </c>
      <c r="G164" t="s">
        <v>26</v>
      </c>
      <c r="H164" t="s">
        <v>11</v>
      </c>
    </row>
    <row r="165" spans="1:8" x14ac:dyDescent="0.45">
      <c r="A165" t="s">
        <v>194</v>
      </c>
      <c r="B165" s="2">
        <v>46126</v>
      </c>
      <c r="C165" t="s">
        <v>13</v>
      </c>
      <c r="D165">
        <v>4</v>
      </c>
      <c r="E165" s="3">
        <v>15.58</v>
      </c>
      <c r="F165" s="3">
        <v>62.32</v>
      </c>
      <c r="G165" t="s">
        <v>20</v>
      </c>
      <c r="H165" t="s">
        <v>29</v>
      </c>
    </row>
    <row r="166" spans="1:8" x14ac:dyDescent="0.45">
      <c r="A166" t="s">
        <v>195</v>
      </c>
      <c r="B166" s="2">
        <v>46027</v>
      </c>
      <c r="C166" t="s">
        <v>44</v>
      </c>
      <c r="D166">
        <v>4</v>
      </c>
      <c r="E166" s="3">
        <v>80.59</v>
      </c>
      <c r="F166" s="3">
        <v>322.36</v>
      </c>
      <c r="G166" t="s">
        <v>10</v>
      </c>
      <c r="H166" t="s">
        <v>40</v>
      </c>
    </row>
    <row r="167" spans="1:8" x14ac:dyDescent="0.45">
      <c r="A167" t="s">
        <v>196</v>
      </c>
      <c r="B167" s="2">
        <v>46184</v>
      </c>
      <c r="C167" t="s">
        <v>64</v>
      </c>
      <c r="D167">
        <v>8</v>
      </c>
      <c r="E167" s="3">
        <v>82.73</v>
      </c>
      <c r="F167" s="3">
        <v>661.84</v>
      </c>
      <c r="G167" t="s">
        <v>26</v>
      </c>
      <c r="H167" t="s">
        <v>40</v>
      </c>
    </row>
    <row r="168" spans="1:8" x14ac:dyDescent="0.45">
      <c r="A168" t="s">
        <v>197</v>
      </c>
      <c r="B168" s="2">
        <v>46163</v>
      </c>
      <c r="C168" t="s">
        <v>19</v>
      </c>
      <c r="D168">
        <v>4</v>
      </c>
      <c r="E168" s="3">
        <v>20.57</v>
      </c>
      <c r="F168" s="3">
        <v>82.28</v>
      </c>
      <c r="G168" t="s">
        <v>26</v>
      </c>
      <c r="H168" t="s">
        <v>40</v>
      </c>
    </row>
    <row r="169" spans="1:8" x14ac:dyDescent="0.45">
      <c r="A169" t="s">
        <v>198</v>
      </c>
      <c r="B169" s="2">
        <v>46038</v>
      </c>
      <c r="C169" t="s">
        <v>64</v>
      </c>
      <c r="D169">
        <v>5</v>
      </c>
      <c r="E169" s="3">
        <v>26.98</v>
      </c>
      <c r="F169" s="3">
        <v>134.9</v>
      </c>
      <c r="G169" t="s">
        <v>23</v>
      </c>
      <c r="H169" t="s">
        <v>11</v>
      </c>
    </row>
    <row r="170" spans="1:8" x14ac:dyDescent="0.45">
      <c r="A170" t="s">
        <v>199</v>
      </c>
      <c r="B170" s="2">
        <v>46046</v>
      </c>
      <c r="C170" t="s">
        <v>19</v>
      </c>
      <c r="D170">
        <v>7</v>
      </c>
      <c r="E170" s="3">
        <v>216.51</v>
      </c>
      <c r="F170" s="3">
        <v>1515.57</v>
      </c>
      <c r="G170" t="s">
        <v>10</v>
      </c>
      <c r="H170" t="s">
        <v>29</v>
      </c>
    </row>
    <row r="171" spans="1:8" x14ac:dyDescent="0.45">
      <c r="A171" t="s">
        <v>200</v>
      </c>
      <c r="B171" s="2">
        <v>46148</v>
      </c>
      <c r="C171" t="s">
        <v>16</v>
      </c>
      <c r="D171">
        <v>6</v>
      </c>
      <c r="E171" s="3">
        <v>119.56</v>
      </c>
      <c r="F171" s="3">
        <v>717.36</v>
      </c>
      <c r="G171" t="s">
        <v>23</v>
      </c>
      <c r="H171" t="s">
        <v>17</v>
      </c>
    </row>
    <row r="172" spans="1:8" x14ac:dyDescent="0.45">
      <c r="A172" t="s">
        <v>201</v>
      </c>
      <c r="B172" s="2">
        <v>46102</v>
      </c>
      <c r="C172" t="s">
        <v>33</v>
      </c>
      <c r="D172">
        <v>6</v>
      </c>
      <c r="E172" s="3">
        <v>67.73</v>
      </c>
      <c r="F172" s="3">
        <v>406.38</v>
      </c>
      <c r="G172" t="s">
        <v>26</v>
      </c>
      <c r="H172" t="s">
        <v>40</v>
      </c>
    </row>
    <row r="173" spans="1:8" x14ac:dyDescent="0.45">
      <c r="A173" t="s">
        <v>202</v>
      </c>
      <c r="B173" s="2">
        <v>46193</v>
      </c>
      <c r="C173" t="s">
        <v>31</v>
      </c>
      <c r="D173">
        <v>3</v>
      </c>
      <c r="E173" s="3">
        <v>88.69</v>
      </c>
      <c r="F173" s="3">
        <v>266.07</v>
      </c>
      <c r="G173" t="s">
        <v>26</v>
      </c>
      <c r="H173" t="s">
        <v>36</v>
      </c>
    </row>
    <row r="174" spans="1:8" x14ac:dyDescent="0.45">
      <c r="A174" t="s">
        <v>203</v>
      </c>
      <c r="B174" s="2">
        <v>46162</v>
      </c>
      <c r="C174" t="s">
        <v>31</v>
      </c>
      <c r="D174">
        <v>7</v>
      </c>
      <c r="E174" s="3">
        <v>17.850000000000001</v>
      </c>
      <c r="F174" s="3">
        <v>124.95</v>
      </c>
      <c r="G174" t="s">
        <v>26</v>
      </c>
      <c r="H174" t="s">
        <v>17</v>
      </c>
    </row>
    <row r="175" spans="1:8" x14ac:dyDescent="0.45">
      <c r="A175" t="s">
        <v>204</v>
      </c>
      <c r="B175" s="2">
        <v>46149</v>
      </c>
      <c r="C175" t="s">
        <v>19</v>
      </c>
      <c r="D175">
        <v>2</v>
      </c>
      <c r="E175" s="3">
        <v>100.99</v>
      </c>
      <c r="F175" s="3">
        <v>201.98</v>
      </c>
      <c r="G175" t="s">
        <v>26</v>
      </c>
      <c r="H175" t="s">
        <v>36</v>
      </c>
    </row>
    <row r="176" spans="1:8" x14ac:dyDescent="0.45">
      <c r="A176" t="s">
        <v>205</v>
      </c>
      <c r="B176" s="2">
        <v>46187</v>
      </c>
      <c r="C176" t="s">
        <v>9</v>
      </c>
      <c r="D176">
        <v>1</v>
      </c>
      <c r="E176" s="3">
        <v>111.2</v>
      </c>
      <c r="F176" s="3">
        <v>111.2</v>
      </c>
      <c r="G176" t="s">
        <v>23</v>
      </c>
      <c r="H176" t="s">
        <v>29</v>
      </c>
    </row>
    <row r="177" spans="1:8" x14ac:dyDescent="0.45">
      <c r="A177" t="s">
        <v>206</v>
      </c>
      <c r="B177" s="2">
        <v>46084</v>
      </c>
      <c r="C177" t="s">
        <v>64</v>
      </c>
      <c r="D177">
        <v>2</v>
      </c>
      <c r="E177" s="3">
        <v>101.15</v>
      </c>
      <c r="F177" s="3">
        <v>202.3</v>
      </c>
      <c r="G177" t="s">
        <v>14</v>
      </c>
      <c r="H177" t="s">
        <v>17</v>
      </c>
    </row>
    <row r="178" spans="1:8" x14ac:dyDescent="0.45">
      <c r="A178" t="s">
        <v>207</v>
      </c>
      <c r="B178" s="2">
        <v>46182</v>
      </c>
      <c r="C178" t="s">
        <v>13</v>
      </c>
      <c r="D178">
        <v>6</v>
      </c>
      <c r="E178" s="3">
        <v>133.08000000000001</v>
      </c>
      <c r="F178" s="3">
        <v>798.48</v>
      </c>
      <c r="G178" t="s">
        <v>26</v>
      </c>
      <c r="H178" t="s">
        <v>36</v>
      </c>
    </row>
    <row r="179" spans="1:8" x14ac:dyDescent="0.45">
      <c r="A179" t="s">
        <v>208</v>
      </c>
      <c r="B179" s="2">
        <v>46079</v>
      </c>
      <c r="C179" t="s">
        <v>16</v>
      </c>
      <c r="D179">
        <v>1</v>
      </c>
      <c r="E179" s="3">
        <v>230.15</v>
      </c>
      <c r="F179" s="3">
        <v>230.15</v>
      </c>
      <c r="G179" t="s">
        <v>20</v>
      </c>
      <c r="H179" t="s">
        <v>21</v>
      </c>
    </row>
    <row r="180" spans="1:8" x14ac:dyDescent="0.45">
      <c r="A180" t="s">
        <v>209</v>
      </c>
      <c r="B180" s="2">
        <v>46075</v>
      </c>
      <c r="C180" t="s">
        <v>25</v>
      </c>
      <c r="D180">
        <v>6</v>
      </c>
      <c r="E180" s="3">
        <v>97.76</v>
      </c>
      <c r="F180" s="3">
        <v>586.55999999999995</v>
      </c>
      <c r="G180" t="s">
        <v>26</v>
      </c>
      <c r="H180" t="s">
        <v>21</v>
      </c>
    </row>
    <row r="181" spans="1:8" x14ac:dyDescent="0.45">
      <c r="A181" t="s">
        <v>210</v>
      </c>
      <c r="B181" s="2">
        <v>46156</v>
      </c>
      <c r="C181" t="s">
        <v>16</v>
      </c>
      <c r="D181">
        <v>3</v>
      </c>
      <c r="E181" s="3">
        <v>71.11</v>
      </c>
      <c r="F181" s="3">
        <v>213.33</v>
      </c>
      <c r="G181" t="s">
        <v>20</v>
      </c>
      <c r="H181" t="s">
        <v>11</v>
      </c>
    </row>
    <row r="182" spans="1:8" x14ac:dyDescent="0.45">
      <c r="A182" t="s">
        <v>211</v>
      </c>
      <c r="B182" s="2">
        <v>46195</v>
      </c>
      <c r="C182" t="s">
        <v>33</v>
      </c>
      <c r="D182">
        <v>3</v>
      </c>
      <c r="E182" s="3">
        <v>65.77</v>
      </c>
      <c r="F182" s="3">
        <v>197.31</v>
      </c>
      <c r="G182" t="s">
        <v>14</v>
      </c>
      <c r="H182" t="s">
        <v>36</v>
      </c>
    </row>
    <row r="183" spans="1:8" x14ac:dyDescent="0.45">
      <c r="A183" t="s">
        <v>212</v>
      </c>
      <c r="B183" s="2">
        <v>46196</v>
      </c>
      <c r="C183" t="s">
        <v>33</v>
      </c>
      <c r="D183">
        <v>1</v>
      </c>
      <c r="E183" s="3">
        <v>31.73</v>
      </c>
      <c r="F183" s="3">
        <v>31.73</v>
      </c>
      <c r="G183" t="s">
        <v>26</v>
      </c>
      <c r="H183" t="s">
        <v>21</v>
      </c>
    </row>
    <row r="184" spans="1:8" x14ac:dyDescent="0.45">
      <c r="A184" t="s">
        <v>213</v>
      </c>
      <c r="B184" s="2">
        <v>46096</v>
      </c>
      <c r="C184" t="s">
        <v>25</v>
      </c>
      <c r="D184">
        <v>8</v>
      </c>
      <c r="E184" s="3">
        <v>99.49</v>
      </c>
      <c r="F184" s="3">
        <v>795.92</v>
      </c>
      <c r="G184" t="s">
        <v>10</v>
      </c>
      <c r="H184" t="s">
        <v>11</v>
      </c>
    </row>
    <row r="185" spans="1:8" x14ac:dyDescent="0.45">
      <c r="A185" t="s">
        <v>214</v>
      </c>
      <c r="B185" s="2">
        <v>46189</v>
      </c>
      <c r="C185" t="s">
        <v>44</v>
      </c>
      <c r="D185">
        <v>2</v>
      </c>
      <c r="E185" s="3">
        <v>221.17</v>
      </c>
      <c r="F185" s="3">
        <v>442.34</v>
      </c>
      <c r="G185" t="s">
        <v>23</v>
      </c>
      <c r="H185" t="s">
        <v>29</v>
      </c>
    </row>
    <row r="186" spans="1:8" x14ac:dyDescent="0.45">
      <c r="A186" t="s">
        <v>215</v>
      </c>
      <c r="B186" s="2">
        <v>46119</v>
      </c>
      <c r="C186" t="s">
        <v>64</v>
      </c>
      <c r="D186">
        <v>2</v>
      </c>
      <c r="E186" s="3">
        <v>67.08</v>
      </c>
      <c r="F186" s="3">
        <v>134.16</v>
      </c>
      <c r="G186" t="s">
        <v>20</v>
      </c>
      <c r="H186" t="s">
        <v>11</v>
      </c>
    </row>
    <row r="187" spans="1:8" x14ac:dyDescent="0.45">
      <c r="A187" t="s">
        <v>216</v>
      </c>
      <c r="B187" s="2">
        <v>46057</v>
      </c>
      <c r="C187" t="s">
        <v>35</v>
      </c>
      <c r="D187">
        <v>6</v>
      </c>
      <c r="E187" s="3">
        <v>33.5</v>
      </c>
      <c r="F187" s="3">
        <v>201</v>
      </c>
      <c r="G187" t="s">
        <v>26</v>
      </c>
      <c r="H187" t="s">
        <v>29</v>
      </c>
    </row>
    <row r="188" spans="1:8" x14ac:dyDescent="0.45">
      <c r="A188" t="s">
        <v>217</v>
      </c>
      <c r="B188" s="2">
        <v>46092</v>
      </c>
      <c r="C188" t="s">
        <v>64</v>
      </c>
      <c r="D188">
        <v>5</v>
      </c>
      <c r="E188" s="3">
        <v>50.2</v>
      </c>
      <c r="F188" s="3">
        <v>251</v>
      </c>
      <c r="G188" t="s">
        <v>26</v>
      </c>
      <c r="H188" t="s">
        <v>40</v>
      </c>
    </row>
    <row r="189" spans="1:8" x14ac:dyDescent="0.45">
      <c r="A189" t="s">
        <v>218</v>
      </c>
      <c r="B189" s="2">
        <v>46101</v>
      </c>
      <c r="C189" t="s">
        <v>13</v>
      </c>
      <c r="D189">
        <v>6</v>
      </c>
      <c r="E189" s="3">
        <v>58.2</v>
      </c>
      <c r="F189" s="3">
        <v>349.2</v>
      </c>
      <c r="G189" t="s">
        <v>20</v>
      </c>
      <c r="H189" t="s">
        <v>17</v>
      </c>
    </row>
    <row r="190" spans="1:8" x14ac:dyDescent="0.45">
      <c r="A190" t="s">
        <v>219</v>
      </c>
      <c r="B190" s="2">
        <v>46121</v>
      </c>
      <c r="C190" t="s">
        <v>13</v>
      </c>
      <c r="D190">
        <v>8</v>
      </c>
      <c r="E190" s="3">
        <v>94.53</v>
      </c>
      <c r="F190" s="3">
        <v>756.24</v>
      </c>
      <c r="G190" t="s">
        <v>20</v>
      </c>
      <c r="H190" t="s">
        <v>36</v>
      </c>
    </row>
    <row r="191" spans="1:8" x14ac:dyDescent="0.45">
      <c r="A191" t="s">
        <v>220</v>
      </c>
      <c r="B191" s="2">
        <v>46130</v>
      </c>
      <c r="C191" t="s">
        <v>31</v>
      </c>
      <c r="D191">
        <v>1</v>
      </c>
      <c r="E191" s="3">
        <v>95.14</v>
      </c>
      <c r="F191" s="3">
        <v>95.14</v>
      </c>
      <c r="G191" t="s">
        <v>26</v>
      </c>
      <c r="H191" t="s">
        <v>17</v>
      </c>
    </row>
    <row r="192" spans="1:8" x14ac:dyDescent="0.45">
      <c r="A192" t="s">
        <v>221</v>
      </c>
      <c r="B192" s="2">
        <v>46156</v>
      </c>
      <c r="C192" t="s">
        <v>39</v>
      </c>
      <c r="D192">
        <v>4</v>
      </c>
      <c r="E192" s="3">
        <v>166.53</v>
      </c>
      <c r="F192" s="3">
        <v>666.12</v>
      </c>
      <c r="G192" t="s">
        <v>26</v>
      </c>
      <c r="H192" t="s">
        <v>36</v>
      </c>
    </row>
    <row r="193" spans="1:8" x14ac:dyDescent="0.45">
      <c r="A193" t="s">
        <v>222</v>
      </c>
      <c r="B193" s="2">
        <v>46116</v>
      </c>
      <c r="C193" t="s">
        <v>19</v>
      </c>
      <c r="D193">
        <v>7</v>
      </c>
      <c r="E193" s="3">
        <v>80.180000000000007</v>
      </c>
      <c r="F193" s="3">
        <v>561.26</v>
      </c>
      <c r="G193" t="s">
        <v>14</v>
      </c>
      <c r="H193" t="s">
        <v>21</v>
      </c>
    </row>
    <row r="194" spans="1:8" x14ac:dyDescent="0.45">
      <c r="A194" t="s">
        <v>223</v>
      </c>
      <c r="B194" s="2">
        <v>46084</v>
      </c>
      <c r="C194" t="s">
        <v>25</v>
      </c>
      <c r="D194">
        <v>4</v>
      </c>
      <c r="E194" s="3">
        <v>225.85</v>
      </c>
      <c r="F194" s="3">
        <v>903.4</v>
      </c>
      <c r="G194" t="s">
        <v>26</v>
      </c>
      <c r="H194" t="s">
        <v>17</v>
      </c>
    </row>
    <row r="195" spans="1:8" x14ac:dyDescent="0.45">
      <c r="A195" t="s">
        <v>224</v>
      </c>
      <c r="B195" s="2">
        <v>46112</v>
      </c>
      <c r="C195" t="s">
        <v>28</v>
      </c>
      <c r="D195">
        <v>4</v>
      </c>
      <c r="E195" s="3">
        <v>213.73</v>
      </c>
      <c r="F195" s="3">
        <v>854.92</v>
      </c>
      <c r="G195" t="s">
        <v>26</v>
      </c>
      <c r="H195" t="s">
        <v>21</v>
      </c>
    </row>
    <row r="196" spans="1:8" x14ac:dyDescent="0.45">
      <c r="A196" t="s">
        <v>225</v>
      </c>
      <c r="B196" s="2">
        <v>46024</v>
      </c>
      <c r="C196" t="s">
        <v>19</v>
      </c>
      <c r="D196">
        <v>6</v>
      </c>
      <c r="E196" s="3">
        <v>235.01</v>
      </c>
      <c r="F196" s="3">
        <v>1410.06</v>
      </c>
      <c r="G196" t="s">
        <v>10</v>
      </c>
      <c r="H196" t="s">
        <v>11</v>
      </c>
    </row>
    <row r="197" spans="1:8" x14ac:dyDescent="0.45">
      <c r="A197" t="s">
        <v>226</v>
      </c>
      <c r="B197" s="2">
        <v>46048</v>
      </c>
      <c r="C197" t="s">
        <v>39</v>
      </c>
      <c r="D197">
        <v>4</v>
      </c>
      <c r="E197" s="3">
        <v>177.54</v>
      </c>
      <c r="F197" s="3">
        <v>710.16</v>
      </c>
      <c r="G197" t="s">
        <v>23</v>
      </c>
      <c r="H197" t="s">
        <v>36</v>
      </c>
    </row>
    <row r="198" spans="1:8" x14ac:dyDescent="0.45">
      <c r="A198" t="s">
        <v>227</v>
      </c>
      <c r="B198" s="2">
        <v>46024</v>
      </c>
      <c r="C198" t="s">
        <v>28</v>
      </c>
      <c r="D198">
        <v>6</v>
      </c>
      <c r="E198" s="3">
        <v>210.8</v>
      </c>
      <c r="F198" s="3">
        <v>1264.8</v>
      </c>
      <c r="G198" t="s">
        <v>20</v>
      </c>
      <c r="H198" t="s">
        <v>21</v>
      </c>
    </row>
    <row r="199" spans="1:8" x14ac:dyDescent="0.45">
      <c r="A199" t="s">
        <v>228</v>
      </c>
      <c r="B199" s="2">
        <v>46099</v>
      </c>
      <c r="C199" t="s">
        <v>13</v>
      </c>
      <c r="D199">
        <v>1</v>
      </c>
      <c r="E199" s="3">
        <v>10.1</v>
      </c>
      <c r="F199" s="3">
        <v>10.1</v>
      </c>
      <c r="G199" t="s">
        <v>14</v>
      </c>
      <c r="H199" t="s">
        <v>36</v>
      </c>
    </row>
    <row r="200" spans="1:8" x14ac:dyDescent="0.45">
      <c r="A200" t="s">
        <v>229</v>
      </c>
      <c r="B200" s="2">
        <v>46038</v>
      </c>
      <c r="C200" t="s">
        <v>39</v>
      </c>
      <c r="D200">
        <v>8</v>
      </c>
      <c r="E200" s="3">
        <v>192.08</v>
      </c>
      <c r="F200" s="3">
        <v>1536.64</v>
      </c>
      <c r="G200" t="s">
        <v>10</v>
      </c>
      <c r="H200" t="s">
        <v>29</v>
      </c>
    </row>
    <row r="201" spans="1:8" x14ac:dyDescent="0.45">
      <c r="A201" t="s">
        <v>230</v>
      </c>
      <c r="B201" s="2">
        <v>46026</v>
      </c>
      <c r="C201" t="s">
        <v>28</v>
      </c>
      <c r="D201">
        <v>6</v>
      </c>
      <c r="E201" s="3">
        <v>134.68</v>
      </c>
      <c r="F201" s="3">
        <v>808.08</v>
      </c>
      <c r="G201" t="s">
        <v>10</v>
      </c>
      <c r="H201" t="s">
        <v>36</v>
      </c>
    </row>
    <row r="202" spans="1:8" x14ac:dyDescent="0.45">
      <c r="A202" t="s">
        <v>231</v>
      </c>
      <c r="B202" s="2">
        <v>46084</v>
      </c>
      <c r="C202" t="s">
        <v>44</v>
      </c>
      <c r="D202">
        <v>4</v>
      </c>
      <c r="E202" s="3">
        <v>24.02</v>
      </c>
      <c r="F202" s="3">
        <v>96.08</v>
      </c>
      <c r="G202" t="s">
        <v>23</v>
      </c>
      <c r="H202" t="s">
        <v>40</v>
      </c>
    </row>
    <row r="203" spans="1:8" x14ac:dyDescent="0.45">
      <c r="A203" t="s">
        <v>232</v>
      </c>
      <c r="B203" s="2">
        <v>46178</v>
      </c>
      <c r="C203" t="s">
        <v>33</v>
      </c>
      <c r="D203">
        <v>7</v>
      </c>
      <c r="E203" s="3">
        <v>90.5</v>
      </c>
      <c r="F203" s="3">
        <v>633.5</v>
      </c>
      <c r="G203" t="s">
        <v>20</v>
      </c>
      <c r="H203" t="s">
        <v>17</v>
      </c>
    </row>
    <row r="204" spans="1:8" x14ac:dyDescent="0.45">
      <c r="A204" t="s">
        <v>233</v>
      </c>
      <c r="B204" s="2">
        <v>46171</v>
      </c>
      <c r="C204" t="s">
        <v>31</v>
      </c>
      <c r="D204">
        <v>4</v>
      </c>
      <c r="E204" s="3">
        <v>189.38</v>
      </c>
      <c r="F204" s="3">
        <v>757.52</v>
      </c>
      <c r="G204" t="s">
        <v>26</v>
      </c>
      <c r="H204" t="s">
        <v>29</v>
      </c>
    </row>
    <row r="205" spans="1:8" x14ac:dyDescent="0.45">
      <c r="A205" t="s">
        <v>234</v>
      </c>
      <c r="B205" s="2">
        <v>46038</v>
      </c>
      <c r="C205" t="s">
        <v>13</v>
      </c>
      <c r="D205">
        <v>6</v>
      </c>
      <c r="E205" s="3">
        <v>102.39</v>
      </c>
      <c r="F205" s="3">
        <v>614.34</v>
      </c>
      <c r="G205" t="s">
        <v>23</v>
      </c>
      <c r="H205" t="s">
        <v>36</v>
      </c>
    </row>
    <row r="206" spans="1:8" x14ac:dyDescent="0.45">
      <c r="A206" t="s">
        <v>235</v>
      </c>
      <c r="B206" s="2">
        <v>46139</v>
      </c>
      <c r="C206" t="s">
        <v>31</v>
      </c>
      <c r="D206">
        <v>4</v>
      </c>
      <c r="E206" s="3">
        <v>221.55</v>
      </c>
      <c r="F206" s="3">
        <v>886.2</v>
      </c>
      <c r="G206" t="s">
        <v>14</v>
      </c>
      <c r="H206" t="s">
        <v>40</v>
      </c>
    </row>
    <row r="207" spans="1:8" x14ac:dyDescent="0.45">
      <c r="A207" t="s">
        <v>236</v>
      </c>
      <c r="B207" s="2">
        <v>46050</v>
      </c>
      <c r="C207" t="s">
        <v>13</v>
      </c>
      <c r="D207">
        <v>7</v>
      </c>
      <c r="E207" s="3">
        <v>229.99</v>
      </c>
      <c r="F207" s="3">
        <v>1609.93</v>
      </c>
      <c r="G207" t="s">
        <v>14</v>
      </c>
      <c r="H207" t="s">
        <v>29</v>
      </c>
    </row>
    <row r="208" spans="1:8" x14ac:dyDescent="0.45">
      <c r="A208" t="s">
        <v>237</v>
      </c>
      <c r="B208" s="2">
        <v>46142</v>
      </c>
      <c r="C208" t="s">
        <v>44</v>
      </c>
      <c r="D208">
        <v>3</v>
      </c>
      <c r="E208" s="3">
        <v>107.72</v>
      </c>
      <c r="F208" s="3">
        <v>323.16000000000003</v>
      </c>
      <c r="G208" t="s">
        <v>10</v>
      </c>
      <c r="H208" t="s">
        <v>36</v>
      </c>
    </row>
    <row r="209" spans="1:8" x14ac:dyDescent="0.45">
      <c r="A209" t="s">
        <v>238</v>
      </c>
      <c r="B209" s="2">
        <v>46051</v>
      </c>
      <c r="C209" t="s">
        <v>64</v>
      </c>
      <c r="D209">
        <v>3</v>
      </c>
      <c r="E209" s="3">
        <v>25.74</v>
      </c>
      <c r="F209" s="3">
        <v>77.22</v>
      </c>
      <c r="G209" t="s">
        <v>20</v>
      </c>
      <c r="H209" t="s">
        <v>11</v>
      </c>
    </row>
    <row r="210" spans="1:8" x14ac:dyDescent="0.45">
      <c r="A210" t="s">
        <v>239</v>
      </c>
      <c r="B210" s="2">
        <v>46120</v>
      </c>
      <c r="C210" t="s">
        <v>35</v>
      </c>
      <c r="D210">
        <v>3</v>
      </c>
      <c r="E210" s="3">
        <v>165.15</v>
      </c>
      <c r="F210" s="3">
        <v>495.45</v>
      </c>
      <c r="G210" t="s">
        <v>20</v>
      </c>
      <c r="H210" t="s">
        <v>11</v>
      </c>
    </row>
    <row r="211" spans="1:8" x14ac:dyDescent="0.45">
      <c r="A211" t="s">
        <v>240</v>
      </c>
      <c r="B211" s="2">
        <v>46053</v>
      </c>
      <c r="C211" t="s">
        <v>16</v>
      </c>
      <c r="D211">
        <v>4</v>
      </c>
      <c r="E211" s="3">
        <v>192.3</v>
      </c>
      <c r="F211" s="3">
        <v>769.2</v>
      </c>
      <c r="G211" t="s">
        <v>20</v>
      </c>
      <c r="H211" t="s">
        <v>36</v>
      </c>
    </row>
    <row r="212" spans="1:8" x14ac:dyDescent="0.45">
      <c r="A212" t="s">
        <v>241</v>
      </c>
      <c r="B212" s="2">
        <v>46156</v>
      </c>
      <c r="C212" t="s">
        <v>25</v>
      </c>
      <c r="D212">
        <v>8</v>
      </c>
      <c r="E212" s="3">
        <v>222.49</v>
      </c>
      <c r="F212" s="3">
        <v>1779.92</v>
      </c>
      <c r="G212" t="s">
        <v>23</v>
      </c>
      <c r="H212" t="s">
        <v>40</v>
      </c>
    </row>
    <row r="213" spans="1:8" x14ac:dyDescent="0.45">
      <c r="A213" t="s">
        <v>242</v>
      </c>
      <c r="B213" s="2">
        <v>46193</v>
      </c>
      <c r="C213" t="s">
        <v>16</v>
      </c>
      <c r="D213">
        <v>4</v>
      </c>
      <c r="E213" s="3">
        <v>176.62</v>
      </c>
      <c r="F213" s="3">
        <v>706.48</v>
      </c>
      <c r="G213" t="s">
        <v>14</v>
      </c>
      <c r="H213" t="s">
        <v>17</v>
      </c>
    </row>
    <row r="214" spans="1:8" x14ac:dyDescent="0.45">
      <c r="A214" t="s">
        <v>243</v>
      </c>
      <c r="B214" s="2">
        <v>46104</v>
      </c>
      <c r="C214" t="s">
        <v>64</v>
      </c>
      <c r="D214">
        <v>4</v>
      </c>
      <c r="E214" s="3">
        <v>19.88</v>
      </c>
      <c r="F214" s="3">
        <v>79.52</v>
      </c>
      <c r="G214" t="s">
        <v>20</v>
      </c>
      <c r="H214" t="s">
        <v>11</v>
      </c>
    </row>
    <row r="215" spans="1:8" x14ac:dyDescent="0.45">
      <c r="A215" t="s">
        <v>244</v>
      </c>
      <c r="B215" s="2">
        <v>46032</v>
      </c>
      <c r="C215" t="s">
        <v>39</v>
      </c>
      <c r="D215">
        <v>6</v>
      </c>
      <c r="E215" s="3">
        <v>80.459999999999994</v>
      </c>
      <c r="F215" s="3">
        <v>482.76</v>
      </c>
      <c r="G215" t="s">
        <v>20</v>
      </c>
      <c r="H215" t="s">
        <v>21</v>
      </c>
    </row>
    <row r="216" spans="1:8" x14ac:dyDescent="0.45">
      <c r="A216" t="s">
        <v>245</v>
      </c>
      <c r="B216" s="2">
        <v>46122</v>
      </c>
      <c r="C216" t="s">
        <v>19</v>
      </c>
      <c r="D216">
        <v>8</v>
      </c>
      <c r="E216" s="3">
        <v>59.83</v>
      </c>
      <c r="F216" s="3">
        <v>478.64</v>
      </c>
      <c r="G216" t="s">
        <v>10</v>
      </c>
      <c r="H216" t="s">
        <v>29</v>
      </c>
    </row>
    <row r="217" spans="1:8" x14ac:dyDescent="0.45">
      <c r="A217" t="s">
        <v>246</v>
      </c>
      <c r="B217" s="2">
        <v>46141</v>
      </c>
      <c r="C217" t="s">
        <v>33</v>
      </c>
      <c r="D217">
        <v>6</v>
      </c>
      <c r="E217" s="3">
        <v>247.09</v>
      </c>
      <c r="F217" s="3">
        <v>1482.54</v>
      </c>
      <c r="G217" t="s">
        <v>23</v>
      </c>
      <c r="H217" t="s">
        <v>29</v>
      </c>
    </row>
    <row r="218" spans="1:8" x14ac:dyDescent="0.45">
      <c r="A218" t="s">
        <v>247</v>
      </c>
      <c r="B218" s="2">
        <v>46055</v>
      </c>
      <c r="C218" t="s">
        <v>33</v>
      </c>
      <c r="D218">
        <v>8</v>
      </c>
      <c r="E218" s="3">
        <v>75.78</v>
      </c>
      <c r="F218" s="3">
        <v>606.24</v>
      </c>
      <c r="G218" t="s">
        <v>10</v>
      </c>
      <c r="H218" t="s">
        <v>29</v>
      </c>
    </row>
    <row r="219" spans="1:8" x14ac:dyDescent="0.45">
      <c r="A219" t="s">
        <v>248</v>
      </c>
      <c r="B219" s="2">
        <v>46125</v>
      </c>
      <c r="C219" t="s">
        <v>13</v>
      </c>
      <c r="D219">
        <v>8</v>
      </c>
      <c r="E219" s="3">
        <v>84.2</v>
      </c>
      <c r="F219" s="3">
        <v>673.6</v>
      </c>
      <c r="G219" t="s">
        <v>14</v>
      </c>
      <c r="H219" t="s">
        <v>40</v>
      </c>
    </row>
    <row r="220" spans="1:8" x14ac:dyDescent="0.45">
      <c r="A220" t="s">
        <v>249</v>
      </c>
      <c r="B220" s="2">
        <v>46194</v>
      </c>
      <c r="C220" t="s">
        <v>31</v>
      </c>
      <c r="D220">
        <v>6</v>
      </c>
      <c r="E220" s="3">
        <v>176.53</v>
      </c>
      <c r="F220" s="3">
        <v>1059.18</v>
      </c>
      <c r="G220" t="s">
        <v>20</v>
      </c>
      <c r="H220" t="s">
        <v>17</v>
      </c>
    </row>
    <row r="221" spans="1:8" x14ac:dyDescent="0.45">
      <c r="A221" t="s">
        <v>250</v>
      </c>
      <c r="B221" s="2">
        <v>46137</v>
      </c>
      <c r="C221" t="s">
        <v>28</v>
      </c>
      <c r="D221">
        <v>1</v>
      </c>
      <c r="E221" s="3">
        <v>41.52</v>
      </c>
      <c r="F221" s="3">
        <v>41.52</v>
      </c>
      <c r="G221" t="s">
        <v>23</v>
      </c>
      <c r="H221" t="s">
        <v>17</v>
      </c>
    </row>
    <row r="222" spans="1:8" x14ac:dyDescent="0.45">
      <c r="A222" t="s">
        <v>251</v>
      </c>
      <c r="B222" s="2">
        <v>46192</v>
      </c>
      <c r="C222" t="s">
        <v>9</v>
      </c>
      <c r="D222">
        <v>8</v>
      </c>
      <c r="E222" s="3">
        <v>170.93</v>
      </c>
      <c r="F222" s="3">
        <v>1367.44</v>
      </c>
      <c r="G222" t="s">
        <v>14</v>
      </c>
      <c r="H222" t="s">
        <v>36</v>
      </c>
    </row>
    <row r="223" spans="1:8" x14ac:dyDescent="0.45">
      <c r="A223" t="s">
        <v>252</v>
      </c>
      <c r="B223" s="2">
        <v>46046</v>
      </c>
      <c r="C223" t="s">
        <v>16</v>
      </c>
      <c r="D223">
        <v>6</v>
      </c>
      <c r="E223" s="3">
        <v>95.04</v>
      </c>
      <c r="F223" s="3">
        <v>570.24</v>
      </c>
      <c r="G223" t="s">
        <v>26</v>
      </c>
      <c r="H223" t="s">
        <v>36</v>
      </c>
    </row>
    <row r="224" spans="1:8" x14ac:dyDescent="0.45">
      <c r="A224" t="s">
        <v>253</v>
      </c>
      <c r="B224" s="2">
        <v>46197</v>
      </c>
      <c r="C224" t="s">
        <v>44</v>
      </c>
      <c r="D224">
        <v>5</v>
      </c>
      <c r="E224" s="3">
        <v>69.34</v>
      </c>
      <c r="F224" s="3">
        <v>346.7</v>
      </c>
      <c r="G224" t="s">
        <v>23</v>
      </c>
      <c r="H224" t="s">
        <v>21</v>
      </c>
    </row>
    <row r="225" spans="1:8" x14ac:dyDescent="0.45">
      <c r="A225" t="s">
        <v>254</v>
      </c>
      <c r="B225" s="2">
        <v>46141</v>
      </c>
      <c r="C225" t="s">
        <v>31</v>
      </c>
      <c r="D225">
        <v>6</v>
      </c>
      <c r="E225" s="3">
        <v>84.34</v>
      </c>
      <c r="F225" s="3">
        <v>506.04</v>
      </c>
      <c r="G225" t="s">
        <v>10</v>
      </c>
      <c r="H225" t="s">
        <v>29</v>
      </c>
    </row>
    <row r="226" spans="1:8" x14ac:dyDescent="0.45">
      <c r="A226" t="s">
        <v>255</v>
      </c>
      <c r="B226" s="2">
        <v>46083</v>
      </c>
      <c r="C226" t="s">
        <v>19</v>
      </c>
      <c r="D226">
        <v>7</v>
      </c>
      <c r="E226" s="3">
        <v>229.31</v>
      </c>
      <c r="F226" s="3">
        <v>1605.17</v>
      </c>
      <c r="G226" t="s">
        <v>20</v>
      </c>
      <c r="H226" t="s">
        <v>17</v>
      </c>
    </row>
    <row r="227" spans="1:8" x14ac:dyDescent="0.45">
      <c r="A227" t="s">
        <v>256</v>
      </c>
      <c r="B227" s="2">
        <v>46068</v>
      </c>
      <c r="C227" t="s">
        <v>16</v>
      </c>
      <c r="D227">
        <v>6</v>
      </c>
      <c r="E227" s="3">
        <v>94.56</v>
      </c>
      <c r="F227" s="3">
        <v>567.36</v>
      </c>
      <c r="G227" t="s">
        <v>14</v>
      </c>
      <c r="H227" t="s">
        <v>29</v>
      </c>
    </row>
    <row r="228" spans="1:8" x14ac:dyDescent="0.45">
      <c r="A228" t="s">
        <v>257</v>
      </c>
      <c r="B228" s="2">
        <v>46102</v>
      </c>
      <c r="C228" t="s">
        <v>64</v>
      </c>
      <c r="D228">
        <v>2</v>
      </c>
      <c r="E228" s="3">
        <v>69.33</v>
      </c>
      <c r="F228" s="3">
        <v>138.66</v>
      </c>
      <c r="G228" t="s">
        <v>26</v>
      </c>
      <c r="H228" t="s">
        <v>29</v>
      </c>
    </row>
    <row r="229" spans="1:8" x14ac:dyDescent="0.45">
      <c r="A229" t="s">
        <v>258</v>
      </c>
      <c r="B229" s="2">
        <v>46119</v>
      </c>
      <c r="C229" t="s">
        <v>64</v>
      </c>
      <c r="D229">
        <v>5</v>
      </c>
      <c r="E229" s="3">
        <v>188.12</v>
      </c>
      <c r="F229" s="3">
        <v>940.6</v>
      </c>
      <c r="G229" t="s">
        <v>23</v>
      </c>
      <c r="H229" t="s">
        <v>36</v>
      </c>
    </row>
    <row r="230" spans="1:8" x14ac:dyDescent="0.45">
      <c r="A230" t="s">
        <v>259</v>
      </c>
      <c r="B230" s="2">
        <v>46201</v>
      </c>
      <c r="C230" t="s">
        <v>35</v>
      </c>
      <c r="D230">
        <v>1</v>
      </c>
      <c r="E230" s="3">
        <v>246.25</v>
      </c>
      <c r="F230" s="3">
        <v>246.25</v>
      </c>
      <c r="G230" t="s">
        <v>23</v>
      </c>
      <c r="H230" t="s">
        <v>36</v>
      </c>
    </row>
    <row r="231" spans="1:8" x14ac:dyDescent="0.45">
      <c r="A231" t="s">
        <v>260</v>
      </c>
      <c r="B231" s="2">
        <v>46167</v>
      </c>
      <c r="C231" t="s">
        <v>19</v>
      </c>
      <c r="D231">
        <v>3</v>
      </c>
      <c r="E231" s="3">
        <v>112.88</v>
      </c>
      <c r="F231" s="3">
        <v>338.64</v>
      </c>
      <c r="G231" t="s">
        <v>10</v>
      </c>
      <c r="H231" t="s">
        <v>36</v>
      </c>
    </row>
    <row r="232" spans="1:8" x14ac:dyDescent="0.45">
      <c r="A232" t="s">
        <v>261</v>
      </c>
      <c r="B232" s="2">
        <v>46187</v>
      </c>
      <c r="C232" t="s">
        <v>25</v>
      </c>
      <c r="D232">
        <v>1</v>
      </c>
      <c r="E232" s="3">
        <v>231.32</v>
      </c>
      <c r="F232" s="3">
        <v>231.32</v>
      </c>
      <c r="G232" t="s">
        <v>10</v>
      </c>
      <c r="H232" t="s">
        <v>17</v>
      </c>
    </row>
    <row r="233" spans="1:8" x14ac:dyDescent="0.45">
      <c r="A233" t="s">
        <v>262</v>
      </c>
      <c r="B233" s="2">
        <v>46191</v>
      </c>
      <c r="C233" t="s">
        <v>16</v>
      </c>
      <c r="D233">
        <v>6</v>
      </c>
      <c r="E233" s="3">
        <v>22.2</v>
      </c>
      <c r="F233" s="3">
        <v>133.19999999999999</v>
      </c>
      <c r="G233" t="s">
        <v>14</v>
      </c>
      <c r="H233" t="s">
        <v>29</v>
      </c>
    </row>
    <row r="234" spans="1:8" x14ac:dyDescent="0.45">
      <c r="A234" t="s">
        <v>263</v>
      </c>
      <c r="B234" s="2">
        <v>46193</v>
      </c>
      <c r="C234" t="s">
        <v>44</v>
      </c>
      <c r="D234">
        <v>1</v>
      </c>
      <c r="E234" s="3">
        <v>183.55</v>
      </c>
      <c r="F234" s="3">
        <v>183.55</v>
      </c>
      <c r="G234" t="s">
        <v>26</v>
      </c>
      <c r="H234" t="s">
        <v>21</v>
      </c>
    </row>
    <row r="235" spans="1:8" x14ac:dyDescent="0.45">
      <c r="A235" t="s">
        <v>264</v>
      </c>
      <c r="B235" s="2">
        <v>46104</v>
      </c>
      <c r="C235" t="s">
        <v>35</v>
      </c>
      <c r="D235">
        <v>3</v>
      </c>
      <c r="E235" s="3">
        <v>108.9</v>
      </c>
      <c r="F235" s="3">
        <v>326.7</v>
      </c>
      <c r="G235" t="s">
        <v>23</v>
      </c>
      <c r="H235" t="s">
        <v>11</v>
      </c>
    </row>
    <row r="236" spans="1:8" x14ac:dyDescent="0.45">
      <c r="A236" t="s">
        <v>265</v>
      </c>
      <c r="B236" s="2">
        <v>46057</v>
      </c>
      <c r="C236" t="s">
        <v>44</v>
      </c>
      <c r="D236">
        <v>3</v>
      </c>
      <c r="E236" s="3">
        <v>51.62</v>
      </c>
      <c r="F236" s="3">
        <v>154.86000000000001</v>
      </c>
      <c r="G236" t="s">
        <v>10</v>
      </c>
      <c r="H236" t="s">
        <v>17</v>
      </c>
    </row>
    <row r="237" spans="1:8" x14ac:dyDescent="0.45">
      <c r="A237" t="s">
        <v>266</v>
      </c>
      <c r="B237" s="2">
        <v>46029</v>
      </c>
      <c r="C237" t="s">
        <v>35</v>
      </c>
      <c r="D237">
        <v>2</v>
      </c>
      <c r="E237" s="3">
        <v>115.03</v>
      </c>
      <c r="F237" s="3">
        <v>230.06</v>
      </c>
      <c r="G237" t="s">
        <v>26</v>
      </c>
      <c r="H237" t="s">
        <v>40</v>
      </c>
    </row>
    <row r="238" spans="1:8" x14ac:dyDescent="0.45">
      <c r="A238" t="s">
        <v>267</v>
      </c>
      <c r="B238" s="2">
        <v>46191</v>
      </c>
      <c r="C238" t="s">
        <v>28</v>
      </c>
      <c r="D238">
        <v>8</v>
      </c>
      <c r="E238" s="3">
        <v>208.4</v>
      </c>
      <c r="F238" s="3">
        <v>1667.2</v>
      </c>
      <c r="G238" t="s">
        <v>10</v>
      </c>
      <c r="H238" t="s">
        <v>11</v>
      </c>
    </row>
    <row r="239" spans="1:8" x14ac:dyDescent="0.45">
      <c r="A239" t="s">
        <v>268</v>
      </c>
      <c r="B239" s="2">
        <v>46167</v>
      </c>
      <c r="C239" t="s">
        <v>39</v>
      </c>
      <c r="D239">
        <v>2</v>
      </c>
      <c r="E239" s="3">
        <v>137.09</v>
      </c>
      <c r="F239" s="3">
        <v>274.18</v>
      </c>
      <c r="G239" t="s">
        <v>20</v>
      </c>
      <c r="H239" t="s">
        <v>29</v>
      </c>
    </row>
    <row r="240" spans="1:8" x14ac:dyDescent="0.45">
      <c r="A240" t="s">
        <v>269</v>
      </c>
      <c r="B240" s="2">
        <v>46157</v>
      </c>
      <c r="C240" t="s">
        <v>25</v>
      </c>
      <c r="D240">
        <v>6</v>
      </c>
      <c r="E240" s="3">
        <v>163.43</v>
      </c>
      <c r="F240" s="3">
        <v>980.58</v>
      </c>
      <c r="G240" t="s">
        <v>14</v>
      </c>
      <c r="H240" t="s">
        <v>21</v>
      </c>
    </row>
    <row r="241" spans="1:8" x14ac:dyDescent="0.45">
      <c r="A241" t="s">
        <v>270</v>
      </c>
      <c r="B241" s="2">
        <v>46116</v>
      </c>
      <c r="C241" t="s">
        <v>19</v>
      </c>
      <c r="D241">
        <v>6</v>
      </c>
      <c r="E241" s="3">
        <v>160.47</v>
      </c>
      <c r="F241" s="3">
        <v>962.82</v>
      </c>
      <c r="G241" t="s">
        <v>23</v>
      </c>
      <c r="H241" t="s">
        <v>40</v>
      </c>
    </row>
  </sheetData>
  <autoFilter ref="A1:H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25" x14ac:dyDescent="0.45"/>
  <cols>
    <col min="1" max="1" width="24" customWidth="1"/>
    <col min="2" max="2" width="18" customWidth="1"/>
    <col min="4" max="4" width="24" customWidth="1"/>
    <col min="5" max="5" width="16" customWidth="1"/>
    <col min="7" max="7" width="24" customWidth="1"/>
    <col min="8" max="8" width="18" customWidth="1"/>
  </cols>
  <sheetData>
    <row r="1" spans="1:8" ht="21" x14ac:dyDescent="0.65">
      <c r="A1" s="13" t="s">
        <v>271</v>
      </c>
      <c r="B1" s="14"/>
    </row>
    <row r="3" spans="1:8" x14ac:dyDescent="0.45">
      <c r="A3" s="4" t="s">
        <v>272</v>
      </c>
      <c r="B3" s="4" t="s">
        <v>273</v>
      </c>
    </row>
    <row r="4" spans="1:8" x14ac:dyDescent="0.45">
      <c r="A4" t="s">
        <v>274</v>
      </c>
      <c r="B4" s="3">
        <f>SUM(Raw_Data!F:F)</f>
        <v>142437.14000000001</v>
      </c>
    </row>
    <row r="5" spans="1:8" x14ac:dyDescent="0.45">
      <c r="A5" t="s">
        <v>275</v>
      </c>
      <c r="B5" s="5">
        <f>SUM(Raw_Data!D:D)</f>
        <v>1108</v>
      </c>
    </row>
    <row r="6" spans="1:8" x14ac:dyDescent="0.45">
      <c r="A6" t="s">
        <v>276</v>
      </c>
      <c r="B6" s="3">
        <f>AVERAGE(Raw_Data!F:F)</f>
        <v>593.48808333333341</v>
      </c>
    </row>
    <row r="7" spans="1:8" x14ac:dyDescent="0.45">
      <c r="A7" t="s">
        <v>277</v>
      </c>
      <c r="B7" s="5">
        <f>COUNTA(Raw_Data!A:A)-1</f>
        <v>240</v>
      </c>
    </row>
    <row r="10" spans="1:8" ht="16.899999999999999" x14ac:dyDescent="0.5">
      <c r="A10" s="6" t="s">
        <v>278</v>
      </c>
      <c r="D10" s="6" t="s">
        <v>279</v>
      </c>
      <c r="G10" s="6" t="s">
        <v>280</v>
      </c>
    </row>
    <row r="11" spans="1:8" x14ac:dyDescent="0.45">
      <c r="A11" s="4" t="s">
        <v>281</v>
      </c>
      <c r="B11" s="4" t="s">
        <v>282</v>
      </c>
      <c r="D11" s="4" t="s">
        <v>281</v>
      </c>
      <c r="E11" s="4" t="s">
        <v>283</v>
      </c>
      <c r="G11" s="4" t="s">
        <v>281</v>
      </c>
      <c r="H11" s="4" t="s">
        <v>276</v>
      </c>
    </row>
    <row r="12" spans="1:8" x14ac:dyDescent="0.45">
      <c r="A12" t="s">
        <v>23</v>
      </c>
      <c r="B12" s="3">
        <f>SUMIFS(Raw_Data!F:F,Raw_Data!G:G,A12)</f>
        <v>30787.940000000013</v>
      </c>
      <c r="D12" t="s">
        <v>23</v>
      </c>
      <c r="E12">
        <f>COUNTIFS(Raw_Data!G:G,D12)</f>
        <v>50</v>
      </c>
      <c r="G12" t="s">
        <v>23</v>
      </c>
      <c r="H12" s="3">
        <f>AVERAGEIFS(Raw_Data!F:F,Raw_Data!G:G,G12)</f>
        <v>615.75880000000029</v>
      </c>
    </row>
    <row r="13" spans="1:8" x14ac:dyDescent="0.45">
      <c r="A13" t="s">
        <v>20</v>
      </c>
      <c r="B13" s="3">
        <f>SUMIFS(Raw_Data!F:F,Raw_Data!G:G,A13)</f>
        <v>26485.820000000007</v>
      </c>
      <c r="D13" t="s">
        <v>20</v>
      </c>
      <c r="E13">
        <f>COUNTIFS(Raw_Data!G:G,D13)</f>
        <v>52</v>
      </c>
      <c r="G13" t="s">
        <v>20</v>
      </c>
      <c r="H13" s="3">
        <f>AVERAGEIFS(Raw_Data!F:F,Raw_Data!G:G,G13)</f>
        <v>509.34269230769246</v>
      </c>
    </row>
    <row r="14" spans="1:8" x14ac:dyDescent="0.45">
      <c r="A14" t="s">
        <v>10</v>
      </c>
      <c r="B14" s="3">
        <f>SUMIFS(Raw_Data!F:F,Raw_Data!G:G,A14)</f>
        <v>28925</v>
      </c>
      <c r="D14" t="s">
        <v>10</v>
      </c>
      <c r="E14">
        <f>COUNTIFS(Raw_Data!G:G,D14)</f>
        <v>46</v>
      </c>
      <c r="G14" t="s">
        <v>10</v>
      </c>
      <c r="H14" s="3">
        <f>AVERAGEIFS(Raw_Data!F:F,Raw_Data!G:G,G14)</f>
        <v>628.804347826087</v>
      </c>
    </row>
    <row r="15" spans="1:8" x14ac:dyDescent="0.45">
      <c r="A15" t="s">
        <v>14</v>
      </c>
      <c r="B15" s="3">
        <f>SUMIFS(Raw_Data!F:F,Raw_Data!G:G,A15)</f>
        <v>30083.510000000002</v>
      </c>
      <c r="D15" t="s">
        <v>14</v>
      </c>
      <c r="E15">
        <f>COUNTIFS(Raw_Data!G:G,D15)</f>
        <v>42</v>
      </c>
      <c r="G15" t="s">
        <v>14</v>
      </c>
      <c r="H15" s="3">
        <f>AVERAGEIFS(Raw_Data!F:F,Raw_Data!G:G,G15)</f>
        <v>716.27404761904768</v>
      </c>
    </row>
    <row r="16" spans="1:8" x14ac:dyDescent="0.45">
      <c r="A16" t="s">
        <v>26</v>
      </c>
      <c r="B16" s="3">
        <f>SUMIFS(Raw_Data!F:F,Raw_Data!G:G,A16)</f>
        <v>26154.87</v>
      </c>
      <c r="D16" t="s">
        <v>26</v>
      </c>
      <c r="E16">
        <f>COUNTIFS(Raw_Data!G:G,D16)</f>
        <v>50</v>
      </c>
      <c r="G16" t="s">
        <v>26</v>
      </c>
      <c r="H16" s="3">
        <f>AVERAGEIFS(Raw_Data!F:F,Raw_Data!G:G,G16)</f>
        <v>523.09739999999999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8" customWidth="1"/>
  </cols>
  <sheetData>
    <row r="1" spans="1:2" x14ac:dyDescent="0.45">
      <c r="A1" s="4" t="s">
        <v>281</v>
      </c>
      <c r="B1" s="4" t="s">
        <v>284</v>
      </c>
    </row>
    <row r="2" spans="1:2" x14ac:dyDescent="0.45">
      <c r="A2" t="s">
        <v>23</v>
      </c>
      <c r="B2" s="3">
        <v>30787.94000000001</v>
      </c>
    </row>
    <row r="3" spans="1:2" x14ac:dyDescent="0.45">
      <c r="A3" t="s">
        <v>14</v>
      </c>
      <c r="B3" s="3">
        <v>30083.51</v>
      </c>
    </row>
    <row r="4" spans="1:2" x14ac:dyDescent="0.45">
      <c r="A4" t="s">
        <v>10</v>
      </c>
      <c r="B4" s="3">
        <v>28925</v>
      </c>
    </row>
    <row r="5" spans="1:2" x14ac:dyDescent="0.45">
      <c r="A5" t="s">
        <v>20</v>
      </c>
      <c r="B5" s="3">
        <v>26485.820000000011</v>
      </c>
    </row>
    <row r="6" spans="1:2" x14ac:dyDescent="0.45">
      <c r="A6" t="s">
        <v>26</v>
      </c>
      <c r="B6" s="3">
        <v>26154.87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8" customWidth="1"/>
  </cols>
  <sheetData>
    <row r="1" spans="1:2" x14ac:dyDescent="0.45">
      <c r="A1" s="4" t="s">
        <v>285</v>
      </c>
      <c r="B1" s="4" t="s">
        <v>284</v>
      </c>
    </row>
    <row r="2" spans="1:2" x14ac:dyDescent="0.45">
      <c r="A2" t="s">
        <v>33</v>
      </c>
      <c r="B2" s="3">
        <v>18713.900000000001</v>
      </c>
    </row>
    <row r="3" spans="1:2" x14ac:dyDescent="0.45">
      <c r="A3" t="s">
        <v>19</v>
      </c>
      <c r="B3" s="3">
        <v>16809.84</v>
      </c>
    </row>
    <row r="4" spans="1:2" x14ac:dyDescent="0.45">
      <c r="A4" t="s">
        <v>28</v>
      </c>
      <c r="B4" s="3">
        <v>16142.37</v>
      </c>
    </row>
    <row r="5" spans="1:2" x14ac:dyDescent="0.45">
      <c r="A5" t="s">
        <v>39</v>
      </c>
      <c r="B5" s="3">
        <v>14290.77</v>
      </c>
    </row>
    <row r="6" spans="1:2" x14ac:dyDescent="0.45">
      <c r="A6" t="s">
        <v>44</v>
      </c>
      <c r="B6" s="3">
        <v>12103.9</v>
      </c>
    </row>
    <row r="7" spans="1:2" x14ac:dyDescent="0.45">
      <c r="A7" t="s">
        <v>31</v>
      </c>
      <c r="B7" s="3">
        <v>10674.32</v>
      </c>
    </row>
    <row r="8" spans="1:2" x14ac:dyDescent="0.45">
      <c r="A8" t="s">
        <v>35</v>
      </c>
      <c r="B8" s="3">
        <v>10624.93</v>
      </c>
    </row>
    <row r="9" spans="1:2" x14ac:dyDescent="0.45">
      <c r="A9" t="s">
        <v>25</v>
      </c>
      <c r="B9" s="3">
        <v>10445.799999999999</v>
      </c>
    </row>
    <row r="10" spans="1:2" x14ac:dyDescent="0.45">
      <c r="A10" t="s">
        <v>9</v>
      </c>
      <c r="B10" s="3">
        <v>9513.33</v>
      </c>
    </row>
    <row r="11" spans="1:2" x14ac:dyDescent="0.45">
      <c r="A11" t="s">
        <v>64</v>
      </c>
      <c r="B11" s="3">
        <v>8509.33</v>
      </c>
    </row>
    <row r="12" spans="1:2" x14ac:dyDescent="0.45">
      <c r="A12" t="s">
        <v>13</v>
      </c>
      <c r="B12" s="3">
        <v>8082.1000000000013</v>
      </c>
    </row>
    <row r="13" spans="1:2" x14ac:dyDescent="0.45">
      <c r="A13" t="s">
        <v>16</v>
      </c>
      <c r="B13" s="3">
        <v>6526.5499999999993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8" customWidth="1"/>
  </cols>
  <sheetData>
    <row r="1" spans="1:2" x14ac:dyDescent="0.45">
      <c r="A1" s="4" t="s">
        <v>286</v>
      </c>
      <c r="B1" s="4" t="s">
        <v>284</v>
      </c>
    </row>
    <row r="2" spans="1:2" x14ac:dyDescent="0.45">
      <c r="A2" t="s">
        <v>287</v>
      </c>
      <c r="B2" s="3">
        <v>24177.45</v>
      </c>
    </row>
    <row r="3" spans="1:2" x14ac:dyDescent="0.45">
      <c r="A3" t="s">
        <v>288</v>
      </c>
      <c r="B3" s="3">
        <v>13788.89</v>
      </c>
    </row>
    <row r="4" spans="1:2" x14ac:dyDescent="0.45">
      <c r="A4" t="s">
        <v>289</v>
      </c>
      <c r="B4" s="3">
        <v>19390.28</v>
      </c>
    </row>
    <row r="5" spans="1:2" x14ac:dyDescent="0.45">
      <c r="A5" t="s">
        <v>290</v>
      </c>
      <c r="B5" s="3">
        <v>23471.38</v>
      </c>
    </row>
    <row r="6" spans="1:2" x14ac:dyDescent="0.45">
      <c r="A6" t="s">
        <v>291</v>
      </c>
      <c r="B6" s="3">
        <v>24885.970000000008</v>
      </c>
    </row>
    <row r="7" spans="1:2" x14ac:dyDescent="0.45">
      <c r="A7" t="s">
        <v>292</v>
      </c>
      <c r="B7" s="3">
        <v>36723.17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8" customWidth="1"/>
  </cols>
  <sheetData>
    <row r="1" spans="1:2" x14ac:dyDescent="0.45">
      <c r="A1" s="4" t="s">
        <v>293</v>
      </c>
      <c r="B1" s="4" t="s">
        <v>284</v>
      </c>
    </row>
    <row r="2" spans="1:2" x14ac:dyDescent="0.45">
      <c r="A2" t="s">
        <v>36</v>
      </c>
      <c r="B2" s="3">
        <v>28195.51</v>
      </c>
    </row>
    <row r="3" spans="1:2" x14ac:dyDescent="0.45">
      <c r="A3" t="s">
        <v>11</v>
      </c>
      <c r="B3" s="3">
        <v>24885.19000000001</v>
      </c>
    </row>
    <row r="4" spans="1:2" x14ac:dyDescent="0.45">
      <c r="A4" t="s">
        <v>29</v>
      </c>
      <c r="B4" s="3">
        <v>24112.18</v>
      </c>
    </row>
    <row r="5" spans="1:2" x14ac:dyDescent="0.45">
      <c r="A5" t="s">
        <v>21</v>
      </c>
      <c r="B5" s="3">
        <v>22989.34</v>
      </c>
    </row>
    <row r="6" spans="1:2" x14ac:dyDescent="0.45">
      <c r="A6" t="s">
        <v>17</v>
      </c>
      <c r="B6" s="3">
        <v>21737.260000000009</v>
      </c>
    </row>
    <row r="7" spans="1:2" x14ac:dyDescent="0.45">
      <c r="A7" t="s">
        <v>40</v>
      </c>
      <c r="B7" s="3">
        <v>20517.659999999989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8" customWidth="1"/>
  </cols>
  <sheetData>
    <row r="1" spans="1:2" x14ac:dyDescent="0.45">
      <c r="A1" s="4" t="s">
        <v>281</v>
      </c>
      <c r="B1" s="4" t="s">
        <v>294</v>
      </c>
    </row>
    <row r="2" spans="1:2" x14ac:dyDescent="0.45">
      <c r="A2" t="s">
        <v>14</v>
      </c>
      <c r="B2" s="3">
        <v>230</v>
      </c>
    </row>
    <row r="3" spans="1:2" x14ac:dyDescent="0.45">
      <c r="A3" t="s">
        <v>10</v>
      </c>
      <c r="B3" s="3">
        <v>225</v>
      </c>
    </row>
    <row r="4" spans="1:2" x14ac:dyDescent="0.45">
      <c r="A4" t="s">
        <v>26</v>
      </c>
      <c r="B4" s="3">
        <v>224</v>
      </c>
    </row>
    <row r="5" spans="1:2" x14ac:dyDescent="0.45">
      <c r="A5" t="s">
        <v>23</v>
      </c>
      <c r="B5" s="3">
        <v>215</v>
      </c>
    </row>
    <row r="6" spans="1:2" x14ac:dyDescent="0.45">
      <c r="A6" t="s">
        <v>20</v>
      </c>
      <c r="B6" s="3">
        <v>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workbookViewId="0">
      <selection sqref="A1:C1"/>
    </sheetView>
  </sheetViews>
  <sheetFormatPr defaultRowHeight="14.25" x14ac:dyDescent="0.45"/>
  <cols>
    <col min="1" max="1" width="25" customWidth="1"/>
    <col min="2" max="2" width="90" customWidth="1"/>
  </cols>
  <sheetData>
    <row r="1" spans="1:3" ht="21" x14ac:dyDescent="0.65">
      <c r="A1" s="13" t="s">
        <v>325</v>
      </c>
      <c r="B1" s="14"/>
      <c r="C1" s="14"/>
    </row>
    <row r="3" spans="1:3" x14ac:dyDescent="0.45">
      <c r="A3" t="s">
        <v>326</v>
      </c>
      <c r="B3" t="s">
        <v>327</v>
      </c>
    </row>
    <row r="4" spans="1:3" x14ac:dyDescent="0.45">
      <c r="A4" t="s">
        <v>328</v>
      </c>
      <c r="B4" t="s">
        <v>329</v>
      </c>
    </row>
    <row r="5" spans="1:3" x14ac:dyDescent="0.45">
      <c r="A5" t="s">
        <v>330</v>
      </c>
      <c r="B5">
        <v>240</v>
      </c>
    </row>
    <row r="6" spans="1:3" x14ac:dyDescent="0.45">
      <c r="A6" t="s">
        <v>274</v>
      </c>
      <c r="B6">
        <v>142437.14000000001</v>
      </c>
    </row>
    <row r="7" spans="1:3" x14ac:dyDescent="0.45">
      <c r="A7" t="s">
        <v>331</v>
      </c>
      <c r="B7" t="s">
        <v>332</v>
      </c>
    </row>
    <row r="8" spans="1:3" x14ac:dyDescent="0.45">
      <c r="A8" t="s">
        <v>333</v>
      </c>
      <c r="B8" t="s">
        <v>334</v>
      </c>
    </row>
    <row r="11" spans="1:3" ht="16.899999999999999" x14ac:dyDescent="0.5">
      <c r="A11" s="6" t="s">
        <v>335</v>
      </c>
    </row>
    <row r="12" spans="1:3" x14ac:dyDescent="0.45">
      <c r="A12" t="s">
        <v>336</v>
      </c>
      <c r="B12" t="s">
        <v>337</v>
      </c>
    </row>
    <row r="13" spans="1:3" x14ac:dyDescent="0.45">
      <c r="A13" t="s">
        <v>338</v>
      </c>
      <c r="B13" t="s">
        <v>339</v>
      </c>
    </row>
    <row r="14" spans="1:3" x14ac:dyDescent="0.45">
      <c r="A14" t="s">
        <v>340</v>
      </c>
      <c r="B14" t="s">
        <v>341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4.25" x14ac:dyDescent="0.45"/>
  <cols>
    <col min="1" max="1" width="20" customWidth="1"/>
    <col min="2" max="2" width="24" customWidth="1"/>
    <col min="3" max="3" width="22" customWidth="1"/>
    <col min="4" max="4" width="24" customWidth="1"/>
    <col min="5" max="5" width="28" customWidth="1"/>
    <col min="6" max="6" width="24" customWidth="1"/>
  </cols>
  <sheetData>
    <row r="1" spans="1:6" ht="21" x14ac:dyDescent="0.65">
      <c r="A1" s="13" t="s">
        <v>295</v>
      </c>
      <c r="B1" s="14"/>
      <c r="C1" s="14"/>
      <c r="D1" s="14"/>
    </row>
    <row r="2" spans="1:6" x14ac:dyDescent="0.45">
      <c r="A2" s="7" t="s">
        <v>296</v>
      </c>
    </row>
    <row r="3" spans="1:6" x14ac:dyDescent="0.45">
      <c r="F3" s="4" t="s">
        <v>297</v>
      </c>
    </row>
    <row r="4" spans="1:6" x14ac:dyDescent="0.45">
      <c r="A4" s="8" t="s">
        <v>298</v>
      </c>
      <c r="B4" s="9" t="s">
        <v>299</v>
      </c>
      <c r="C4" s="15" t="s">
        <v>8</v>
      </c>
      <c r="D4" s="9" t="s">
        <v>300</v>
      </c>
      <c r="E4" s="15" t="str">
        <f>_xlfn.XLOOKUP(C4,Raw_Data!A:A,Raw_Data!C:C,"Not Found")</f>
        <v>Mechanical Keyboard</v>
      </c>
      <c r="F4" s="17" t="s">
        <v>9</v>
      </c>
    </row>
    <row r="5" spans="1:6" x14ac:dyDescent="0.45">
      <c r="A5" s="8" t="s">
        <v>301</v>
      </c>
      <c r="B5" s="9" t="s">
        <v>299</v>
      </c>
      <c r="C5" s="15" t="s">
        <v>8</v>
      </c>
      <c r="D5" s="9" t="s">
        <v>300</v>
      </c>
      <c r="E5" s="15" t="str">
        <f>VLOOKUP(C5,Raw_Data!A:H,3,FALSE)</f>
        <v>Mechanical Keyboard</v>
      </c>
      <c r="F5" s="17" t="s">
        <v>9</v>
      </c>
    </row>
    <row r="6" spans="1:6" x14ac:dyDescent="0.45">
      <c r="A6" s="8" t="s">
        <v>302</v>
      </c>
      <c r="B6" s="9" t="s">
        <v>303</v>
      </c>
      <c r="C6" s="15">
        <f>Raw_Data!F2</f>
        <v>676.2</v>
      </c>
      <c r="D6" s="9" t="s">
        <v>304</v>
      </c>
      <c r="E6" s="15" t="str">
        <f>IF(C6&gt;=500,"High","Low")</f>
        <v>High</v>
      </c>
      <c r="F6" s="17" t="s">
        <v>305</v>
      </c>
    </row>
    <row r="7" spans="1:6" x14ac:dyDescent="0.45">
      <c r="A7" s="8" t="s">
        <v>306</v>
      </c>
      <c r="B7" s="9" t="s">
        <v>281</v>
      </c>
      <c r="C7" s="15" t="s">
        <v>23</v>
      </c>
      <c r="D7" s="9" t="s">
        <v>307</v>
      </c>
      <c r="E7" s="15">
        <f>SUMIFS(Raw_Data!F:F,Raw_Data!G:G,C7)</f>
        <v>30787.940000000013</v>
      </c>
      <c r="F7" s="18">
        <v>30787.94</v>
      </c>
    </row>
    <row r="8" spans="1:6" x14ac:dyDescent="0.45">
      <c r="A8" s="8" t="s">
        <v>308</v>
      </c>
      <c r="B8" s="9" t="s">
        <v>281</v>
      </c>
      <c r="C8" s="15" t="s">
        <v>23</v>
      </c>
      <c r="D8" s="9" t="s">
        <v>309</v>
      </c>
      <c r="E8" s="15">
        <f>COUNTIFS(Raw_Data!G:G,C8)</f>
        <v>50</v>
      </c>
      <c r="F8" s="19">
        <v>50</v>
      </c>
    </row>
    <row r="10" spans="1:6" ht="16.899999999999999" x14ac:dyDescent="0.5">
      <c r="A10" s="6" t="s">
        <v>310</v>
      </c>
    </row>
    <row r="11" spans="1:6" x14ac:dyDescent="0.45">
      <c r="A11" s="9" t="s">
        <v>285</v>
      </c>
      <c r="B11" s="9" t="s">
        <v>311</v>
      </c>
      <c r="C11" s="9" t="s">
        <v>312</v>
      </c>
      <c r="D11" s="9" t="s">
        <v>313</v>
      </c>
      <c r="F11" s="4" t="s">
        <v>314</v>
      </c>
    </row>
    <row r="12" spans="1:6" x14ac:dyDescent="0.45">
      <c r="A12" s="9" t="str">
        <f>Raw_Data!C2</f>
        <v>Mechanical Keyboard</v>
      </c>
      <c r="B12" s="9" t="str">
        <f>LEFT(A12,5)</f>
        <v>Mecha</v>
      </c>
      <c r="C12" s="9" t="str">
        <f>RIGHT(A12,5)</f>
        <v>board</v>
      </c>
      <c r="D12" s="16">
        <f>LEN(A12)</f>
        <v>19</v>
      </c>
      <c r="F12" t="s">
        <v>315</v>
      </c>
    </row>
    <row r="14" spans="1:6" x14ac:dyDescent="0.45">
      <c r="A14" s="10" t="s">
        <v>316</v>
      </c>
      <c r="B14" s="10" t="s">
        <v>317</v>
      </c>
      <c r="C14" s="4"/>
      <c r="D14" s="4"/>
      <c r="E14" s="4"/>
    </row>
    <row r="15" spans="1:6" x14ac:dyDescent="0.45">
      <c r="A15" s="9" t="s">
        <v>298</v>
      </c>
      <c r="B15" s="9" t="s">
        <v>318</v>
      </c>
    </row>
    <row r="16" spans="1:6" x14ac:dyDescent="0.45">
      <c r="A16" s="9" t="s">
        <v>301</v>
      </c>
      <c r="B16" s="9" t="s">
        <v>319</v>
      </c>
    </row>
    <row r="17" spans="1:2" x14ac:dyDescent="0.45">
      <c r="A17" s="9" t="s">
        <v>302</v>
      </c>
      <c r="B17" s="9" t="s">
        <v>320</v>
      </c>
    </row>
    <row r="18" spans="1:2" x14ac:dyDescent="0.45">
      <c r="A18" s="9" t="s">
        <v>306</v>
      </c>
      <c r="B18" s="9" t="s">
        <v>321</v>
      </c>
    </row>
    <row r="19" spans="1:2" x14ac:dyDescent="0.45">
      <c r="A19" s="9" t="s">
        <v>308</v>
      </c>
      <c r="B19" s="9" t="s">
        <v>322</v>
      </c>
    </row>
    <row r="20" spans="1:2" x14ac:dyDescent="0.45">
      <c r="A20" s="9" t="s">
        <v>323</v>
      </c>
      <c r="B20" s="9" t="s">
        <v>324</v>
      </c>
    </row>
    <row r="22" spans="1:2" x14ac:dyDescent="0.45">
      <c r="A22" s="11"/>
      <c r="B22" s="1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Analysis</vt:lpstr>
      <vt:lpstr>PT_Region</vt:lpstr>
      <vt:lpstr>PT_Product</vt:lpstr>
      <vt:lpstr>PT_Monthly</vt:lpstr>
      <vt:lpstr>PT_Salesperson</vt:lpstr>
      <vt:lpstr>PT_Quantity_Region</vt:lpstr>
      <vt:lpstr>Summary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Thapliya</cp:lastModifiedBy>
  <dcterms:created xsi:type="dcterms:W3CDTF">2026-10-06T07:22:07Z</dcterms:created>
  <dcterms:modified xsi:type="dcterms:W3CDTF">2026-10-06T07:38:00Z</dcterms:modified>
</cp:coreProperties>
</file>